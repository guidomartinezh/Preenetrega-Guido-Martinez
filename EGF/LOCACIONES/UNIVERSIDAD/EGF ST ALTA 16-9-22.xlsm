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waciarz/Desktop/GRUPO SALIM/"/>
    </mc:Choice>
  </mc:AlternateContent>
  <xr:revisionPtr revIDLastSave="0" documentId="8_{D9AD43A9-34C2-0E4C-9934-1AF071B054D4}" xr6:coauthVersionLast="36" xr6:coauthVersionMax="36" xr10:uidLastSave="{00000000-0000-0000-0000-000000000000}"/>
  <bookViews>
    <workbookView xWindow="600" yWindow="1180" windowWidth="28080" windowHeight="19240" xr2:uid="{BF670C5E-2E54-0C41-999D-BDA793B96F26}"/>
  </bookViews>
  <sheets>
    <sheet name="Hoja1" sheetId="1" r:id="rId1"/>
  </sheets>
  <definedNames>
    <definedName name="_xlnm._FilterDatabase" localSheetId="0" hidden="1">Hoja1!$A$1:$J$425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1" i="1" l="1"/>
  <c r="H222" i="1" l="1"/>
  <c r="H221" i="1"/>
  <c r="H224" i="1"/>
  <c r="H223" i="1"/>
  <c r="H75" i="1" l="1"/>
  <c r="H74" i="1"/>
  <c r="H65" i="1" l="1"/>
  <c r="H220" i="1"/>
  <c r="H219" i="1"/>
  <c r="H218" i="1"/>
  <c r="H217" i="1"/>
  <c r="H216" i="1"/>
  <c r="H179" i="1" l="1"/>
  <c r="H178" i="1"/>
  <c r="H215" i="1"/>
  <c r="H214" i="1"/>
  <c r="H64" i="1"/>
  <c r="H63" i="1"/>
  <c r="H235" i="1" l="1"/>
  <c r="H234" i="1"/>
  <c r="H233" i="1"/>
  <c r="H232" i="1"/>
  <c r="H231" i="1"/>
  <c r="H230" i="1"/>
  <c r="H229" i="1"/>
  <c r="H228" i="1"/>
  <c r="H227" i="1"/>
  <c r="H226" i="1"/>
  <c r="H225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3" i="1"/>
  <c r="H72" i="1"/>
  <c r="H71" i="1"/>
  <c r="H70" i="1"/>
  <c r="H69" i="1"/>
  <c r="H68" i="1"/>
  <c r="H67" i="1"/>
  <c r="H66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24" i="1" l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48" i="1"/>
  <c r="H47" i="1"/>
  <c r="H46" i="1"/>
  <c r="H45" i="1"/>
  <c r="H44" i="1"/>
  <c r="H42" i="1"/>
  <c r="H41" i="1"/>
  <c r="H40" i="1"/>
  <c r="H39" i="1"/>
  <c r="H38" i="1"/>
  <c r="H37" i="1"/>
  <c r="H36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425" i="1"/>
  <c r="G43" i="1"/>
  <c r="H43" i="1" s="1"/>
  <c r="G35" i="1"/>
  <c r="H35" i="1" s="1"/>
  <c r="G401" i="1" l="1"/>
  <c r="G403" i="1" l="1"/>
  <c r="G404" i="1"/>
  <c r="G406" i="1"/>
  <c r="G405" i="1"/>
  <c r="G402" i="1"/>
</calcChain>
</file>

<file path=xl/sharedStrings.xml><?xml version="1.0" encoding="utf-8"?>
<sst xmlns="http://schemas.openxmlformats.org/spreadsheetml/2006/main" count="1716" uniqueCount="637">
  <si>
    <t>USINA</t>
  </si>
  <si>
    <t>LUCES</t>
  </si>
  <si>
    <t>GRIP</t>
  </si>
  <si>
    <t>DESCRIPCION</t>
  </si>
  <si>
    <t>REMITO</t>
  </si>
  <si>
    <t>USD</t>
  </si>
  <si>
    <t>$</t>
  </si>
  <si>
    <r>
      <rPr>
        <sz val="7.5"/>
        <rFont val="Arial MT"/>
        <family val="2"/>
      </rPr>
      <t>C02ZJB0QMD6M</t>
    </r>
  </si>
  <si>
    <t>SONY TRIMASTER EL PVM-A250 2014, INCLUYE CABLE AC Y 2 SDI CORTOS</t>
  </si>
  <si>
    <t>SN</t>
  </si>
  <si>
    <t>1141J51134257</t>
  </si>
  <si>
    <t>1141J55972094</t>
  </si>
  <si>
    <t>Blackmagic Smart Videohub 12x12 RACK , NCLUYE FUENTE Y USB</t>
  </si>
  <si>
    <t>AVMATRIX DISTRIBUTION 1X4 SDI , INCLUYE FUENTE</t>
  </si>
  <si>
    <t>Blackmagic Ultrastudio Monitor 3G, INCLUYE CABLE USB C</t>
  </si>
  <si>
    <t>AVMATRIX DISTRIBUTION 1X4 SDI, INCLUYE FUENTE</t>
  </si>
  <si>
    <t>MACBOOK PRO 2019 16" 16GB RAM 500GB SSD, INCLUYE MOUSE ORIGINAL, CARGADOR X 2 Y CARCAZA</t>
  </si>
  <si>
    <t>OWC THUNDERBOLT 3 DOCK, INCLUYE FUENTE Y USB C</t>
  </si>
  <si>
    <t>UPS APC 650W</t>
  </si>
  <si>
    <t>DOCK BELKIN USBC</t>
  </si>
  <si>
    <t xml:space="preserve">F4U092 </t>
  </si>
  <si>
    <t>SPNAE41480069</t>
  </si>
  <si>
    <t>SANDISK PRO READER, INCLUYE CABLE USB C</t>
  </si>
  <si>
    <t>2148TK400206</t>
  </si>
  <si>
    <t>SANDISK EXTREME PORTABLE SSD 4TB, INCLUYE CABLE USB C Y ADAPTADOR</t>
  </si>
  <si>
    <t>2148TK400258</t>
  </si>
  <si>
    <t>2148TK400262</t>
  </si>
  <si>
    <t xml:space="preserve">
</t>
  </si>
  <si>
    <t xml:space="preserve">RAID OWC THUNDERBAY 4 USB C 48TB, INCLUYE CABLE USB C Y CABLE AC
</t>
  </si>
  <si>
    <t>PELICAN 1650 (SONY), INCLUYE CANDADOS TSA</t>
  </si>
  <si>
    <r>
      <rPr>
        <sz val="12"/>
        <rFont val="Arial MT"/>
        <family val="2"/>
      </rPr>
      <t>Blackmagic SmartScope Duo 4K RACK</t>
    </r>
    <r>
      <rPr>
        <sz val="12"/>
        <rFont val="Arial MT"/>
      </rPr>
      <t>, INCLUYE FUENTE Y USB</t>
    </r>
  </si>
  <si>
    <t>DIT CART, INCLUYE 2 ABRAZADERAS CON PIN DE TRIPODE MANFROTTO</t>
  </si>
  <si>
    <r>
      <t>PELICAN 1510 _1</t>
    </r>
    <r>
      <rPr>
        <sz val="12"/>
        <rFont val="Arial MT"/>
      </rPr>
      <t>, INCLUYE CANDADOS TSA</t>
    </r>
  </si>
  <si>
    <t>Macbook pro de 13" c/ disco SSD 480GB - MID 2012</t>
  </si>
  <si>
    <t>Macbook Pro MID 2012 13" PROCESADOR 2,5 MHZ</t>
  </si>
  <si>
    <t>Macbook Pro (Retina, 13-inch) mid 2014</t>
  </si>
  <si>
    <t>MacBook Pro (13-inch, M1, 2020)</t>
  </si>
  <si>
    <t>Macbook Air (M1, 2020)</t>
  </si>
  <si>
    <t>Macbook Pro (13" 2017)</t>
  </si>
  <si>
    <t>Ipad pro 3ra generación</t>
  </si>
  <si>
    <t>Apple pencil 2da generación</t>
  </si>
  <si>
    <t>Smart keyboard IPAD 11 PRO 3ra gen</t>
  </si>
  <si>
    <t>Acer Aspire A515-54-51 DJ</t>
  </si>
  <si>
    <t>Thinkpad Lenovo</t>
  </si>
  <si>
    <t>Macbook Pro (13'' 2015)</t>
  </si>
  <si>
    <t>MacBook Pro (mid 2012)</t>
  </si>
  <si>
    <t>MacBook Pro</t>
  </si>
  <si>
    <t>Lenovo ideaPad Flex 5 14ALC05</t>
  </si>
  <si>
    <t>Macbook air2016</t>
  </si>
  <si>
    <t>Dell Insipron 15 3505</t>
  </si>
  <si>
    <t>Macbook Pro (13''2020)</t>
  </si>
  <si>
    <t>Lenovo G480</t>
  </si>
  <si>
    <t>Macbook Pro (13'' 2011)</t>
  </si>
  <si>
    <t>Acer WIN-NOJL3BQS0JR numero N16Q9</t>
  </si>
  <si>
    <t>MacBook Pro 13" 2012</t>
  </si>
  <si>
    <t>COMPUTERS</t>
  </si>
  <si>
    <t>SAMSUMG NP300E5A</t>
  </si>
  <si>
    <t>THINK PAD DESKTOP - IOA0Q6P- INTEL CORE I5 7200 U- CPU 2.5 GHZ</t>
  </si>
  <si>
    <t>SONY VAIO Intel(R) Core(TM) i3-3110M CPU @ 2.40GHz   2.40 GHz</t>
  </si>
  <si>
    <t>HSQE98BC702186T</t>
  </si>
  <si>
    <t>0330 - 50552-74939 AAOEM</t>
  </si>
  <si>
    <t>C1MJ437FDTY3</t>
  </si>
  <si>
    <t>C1MHM7HYDTY3</t>
  </si>
  <si>
    <t>C02NQ0LLG9FP</t>
  </si>
  <si>
    <t>C02DX09JQ05F</t>
  </si>
  <si>
    <t>00330-80000-00000-AA083</t>
  </si>
  <si>
    <t>FVFF806DQ627</t>
  </si>
  <si>
    <t>C02G3ETAQ6L7</t>
  </si>
  <si>
    <t>FVFW6CS8HV29</t>
  </si>
  <si>
    <t>64H00YXQKX</t>
  </si>
  <si>
    <t>HJTHVOTQJKM9</t>
  </si>
  <si>
    <t>FTPHV4RFMJ66</t>
  </si>
  <si>
    <t>NXHG5AA00192019CFA7600</t>
  </si>
  <si>
    <t>PF 3DTCPM</t>
  </si>
  <si>
    <t>C02QLG2KFVH3</t>
  </si>
  <si>
    <t>C02J46RHDKQ2</t>
  </si>
  <si>
    <t>C02R33K3FVH7</t>
  </si>
  <si>
    <t>PW02RHZ1</t>
  </si>
  <si>
    <t>C02RW1VH3QY</t>
  </si>
  <si>
    <t>5DDYTC3</t>
  </si>
  <si>
    <t>C02DM19HP3Y0</t>
  </si>
  <si>
    <t>MB00385011</t>
  </si>
  <si>
    <t>C17H9PH9DV13</t>
  </si>
  <si>
    <t>NXVCHAA0016120E4357600</t>
  </si>
  <si>
    <t>C1MLLLSSDTY3</t>
  </si>
  <si>
    <t>FVFGL795Q05D</t>
  </si>
  <si>
    <t>Martín Ferreiro</t>
  </si>
  <si>
    <t>Ariel Ferrero</t>
  </si>
  <si>
    <t>Mariana Petraglia</t>
  </si>
  <si>
    <t>Guido Martínez</t>
  </si>
  <si>
    <t>Paula Alvarez</t>
  </si>
  <si>
    <t>Fede Blesa</t>
  </si>
  <si>
    <t>Soledad Diaz Bavio</t>
  </si>
  <si>
    <t>Marcela Bazzano</t>
  </si>
  <si>
    <t>Agostina Benvenuti</t>
  </si>
  <si>
    <t>Vicky Gimenez</t>
  </si>
  <si>
    <t>Matias Videla</t>
  </si>
  <si>
    <t>Milagros Enriquez</t>
  </si>
  <si>
    <t>Carolina Perez Goñi</t>
  </si>
  <si>
    <t>Nicolas Di Coco</t>
  </si>
  <si>
    <t>Romina Beraldi</t>
  </si>
  <si>
    <t>Gabriel Lillodo</t>
  </si>
  <si>
    <t>Nicolas Knees</t>
  </si>
  <si>
    <t>Soledad Muñiz</t>
  </si>
  <si>
    <t>Matías Ricci</t>
  </si>
  <si>
    <t>Florencia Penelope Nuñez</t>
  </si>
  <si>
    <t>Paola Chiarle</t>
  </si>
  <si>
    <t>Gaston Blanco</t>
  </si>
  <si>
    <t>Nicole Faktor</t>
  </si>
  <si>
    <t>Mateo Montiel Lovaglio</t>
  </si>
  <si>
    <t>Cristobal Freggiario</t>
  </si>
  <si>
    <t>DIT</t>
  </si>
  <si>
    <t>CAMARA</t>
  </si>
  <si>
    <t>ACCESORIOS DE CAMARA</t>
  </si>
  <si>
    <t>ACCESORIOS DE LUCES</t>
  </si>
  <si>
    <t>Black Magic</t>
  </si>
  <si>
    <t>MICROFONOS DE CONDENSER SCHOEPS</t>
  </si>
  <si>
    <t>Schoep's</t>
  </si>
  <si>
    <t>MONTURAS</t>
  </si>
  <si>
    <t>Cinela</t>
  </si>
  <si>
    <t>OSIX CMIT NORMAL</t>
  </si>
  <si>
    <t>S/N</t>
  </si>
  <si>
    <t>Soporte Para CMIT5U  / CMC-6 / MK41/ CUT-41</t>
  </si>
  <si>
    <t>Rycote</t>
  </si>
  <si>
    <t>CB 2</t>
  </si>
  <si>
    <t>Soporte Para Boom Para MKH416</t>
  </si>
  <si>
    <t>WS4</t>
  </si>
  <si>
    <t>Antiviento rigido Para MKH416</t>
  </si>
  <si>
    <t>W 140 B</t>
  </si>
  <si>
    <t>Windscreen Para CMIT5U BLUE</t>
  </si>
  <si>
    <t>DPA B03</t>
  </si>
  <si>
    <t>6060-OC-U-B00</t>
  </si>
  <si>
    <t>H131478</t>
  </si>
  <si>
    <t>Mic lavalier (corbatero) Con Accesorios</t>
  </si>
  <si>
    <t>DPA</t>
  </si>
  <si>
    <t>DAD3056</t>
  </si>
  <si>
    <t>MicroDot to TA5-F Lectrosonics</t>
  </si>
  <si>
    <t>DPA B04</t>
  </si>
  <si>
    <t>H165198</t>
  </si>
  <si>
    <t>DPA F01</t>
  </si>
  <si>
    <t>6060-OC-U-F00</t>
  </si>
  <si>
    <t>H163525</t>
  </si>
  <si>
    <t>DUA 9103</t>
  </si>
  <si>
    <t>Subminiature Mesh for Lavalier Microphone</t>
  </si>
  <si>
    <t>DPA F02</t>
  </si>
  <si>
    <t>H133786</t>
  </si>
  <si>
    <t>Gopro</t>
  </si>
  <si>
    <t>SJCAM</t>
  </si>
  <si>
    <t>K-Tek</t>
  </si>
  <si>
    <t>K251</t>
    <phoneticPr fontId="1"/>
  </si>
  <si>
    <t>Caña</t>
  </si>
  <si>
    <t>K202</t>
  </si>
  <si>
    <t>Vdb</t>
  </si>
  <si>
    <t>VDB Baby Boom Pole</t>
  </si>
  <si>
    <t>Lion</t>
  </si>
  <si>
    <t>21033ZFE1003650B</t>
  </si>
  <si>
    <t>Pie de  Antenas / Monitores</t>
  </si>
  <si>
    <t>Lectrosonics 2</t>
  </si>
  <si>
    <t>DBSMD/E01</t>
  </si>
  <si>
    <t>Lectrosonics 3</t>
  </si>
  <si>
    <t>Lectrosonics 13</t>
  </si>
  <si>
    <t>DBSM</t>
  </si>
  <si>
    <t>Lectrosonics 14</t>
  </si>
  <si>
    <t>Lectrosonics 23</t>
  </si>
  <si>
    <t>DPR/A</t>
  </si>
  <si>
    <t>Lectrosonics 24</t>
  </si>
  <si>
    <t xml:space="preserve">Lectrosonics </t>
  </si>
  <si>
    <t>DSQD</t>
  </si>
  <si>
    <t>DCR15/4AU</t>
  </si>
  <si>
    <t>Fuente de Alimentacion DSQD</t>
  </si>
  <si>
    <t>Lectrosonics 1</t>
  </si>
  <si>
    <t>DCR822</t>
  </si>
  <si>
    <t>SISTEMAS INALAMBRICOS ANTENAS</t>
  </si>
  <si>
    <t>Shure</t>
  </si>
  <si>
    <t>UA860SWB</t>
  </si>
  <si>
    <t>Passive Omnidirectional Antenna</t>
  </si>
  <si>
    <t>Audio Technica</t>
  </si>
  <si>
    <t>ATW-A49</t>
  </si>
  <si>
    <t>Antena</t>
    <phoneticPr fontId="1"/>
  </si>
  <si>
    <t>M3T</t>
  </si>
  <si>
    <t>Auriculares inalambricos (Transmisor)</t>
  </si>
  <si>
    <t>M3R</t>
  </si>
  <si>
    <t>Auriculares inalambricos (receptor)</t>
  </si>
  <si>
    <t>M2R</t>
  </si>
  <si>
    <t>M2R</t>
    <phoneticPr fontId="1"/>
  </si>
  <si>
    <t>Fuente M3T</t>
    <phoneticPr fontId="1"/>
  </si>
  <si>
    <t>Comtek</t>
  </si>
  <si>
    <t>BST-25/216</t>
  </si>
  <si>
    <t>Auriculares inalambricos (Transmisor) Phonak  Invisity 4</t>
  </si>
  <si>
    <t>MINI-MITE</t>
  </si>
  <si>
    <t>Comtek Mini-Mite 1/2 wave 216 MHz Antenna / A</t>
  </si>
  <si>
    <t>Sound Devices</t>
  </si>
  <si>
    <t>Scorpio</t>
  </si>
  <si>
    <t>WW0621196007</t>
  </si>
  <si>
    <t>Portable Mixer 16 Canales Recorder 32 Tracks</t>
  </si>
  <si>
    <t>XL-WPTA4</t>
  </si>
  <si>
    <t>Fuente Alimentacion Scorpio</t>
  </si>
  <si>
    <t>XL-NPTA4</t>
  </si>
  <si>
    <t>NP-1 Battery Cup to TA4 female connector with 25” cable.</t>
  </si>
  <si>
    <t>Kastar</t>
  </si>
  <si>
    <t>NP-F980 Exp</t>
  </si>
  <si>
    <t xml:space="preserve"> L-compatible mount  Batteries</t>
  </si>
  <si>
    <t>Vantec</t>
  </si>
  <si>
    <t>NST-370 A31-BK</t>
  </si>
  <si>
    <t xml:space="preserve">USB 3.0 Super Speed Multi-Card Reader for SD/CF Cards </t>
  </si>
  <si>
    <t>SanDisk</t>
  </si>
  <si>
    <t>SDSDXXY-128G-GN4IN</t>
  </si>
  <si>
    <t>SanDisk 128GB Extreme PRO SDXC UHS-I Card - C10, U3, V30, 4K UHD, SD Card - SDSDXXY-128G-GN4IN</t>
  </si>
  <si>
    <t>Generico</t>
  </si>
  <si>
    <t>USB MACHO MACHO</t>
  </si>
  <si>
    <t>Cable Usb 2.0 Macho Macho 1.5 Metros Con Filtro</t>
  </si>
  <si>
    <t>CABLES SCORPIO</t>
  </si>
  <si>
    <t>XLR MACHO A TA3-F</t>
  </si>
  <si>
    <t>Cable adaptador de linea/Microfono Belden/Neutrik / Aux 1/6</t>
  </si>
  <si>
    <t>XLR MACHO A Mini Plug</t>
  </si>
  <si>
    <t>Cable adaptador de linea/Microfono Belden/Neutrik / Aux 7/8</t>
  </si>
  <si>
    <t>Cable adaptador de linea/Microfono Belden/Neutrik / Aux 9/10</t>
  </si>
  <si>
    <t>XLR HEMBRA A Y XLR MACHO</t>
  </si>
  <si>
    <t>XLR HEMBRA L  A TA3-F</t>
  </si>
  <si>
    <t>Cable adaptador de linea/Microfono Belden/Neutrik / Input 7/8</t>
  </si>
  <si>
    <t>XL-TA5XF2XL</t>
  </si>
  <si>
    <t xml:space="preserve">Cable adaptador de linea/Microfono Belden/Neutrik / Input 9/16 - TA5 female to (2) XLR-Female 25” cable </t>
  </si>
  <si>
    <t>XL - 10</t>
  </si>
  <si>
    <t xml:space="preserve">Hirose 10-pin to 2xXLR (balanced L/R) and 3.5mm plug (Scorpio Stereo Return A) breakout cable with in-line 20-foot extension </t>
  </si>
  <si>
    <t>Cable adaptador de linea/Microfono Belden/Neutrik / Com Out</t>
  </si>
  <si>
    <t>XLR HEMBRA  A TA3-F</t>
  </si>
  <si>
    <t>Cable adaptador de linea/Microfono Belden/Neutrik / Com In 1</t>
  </si>
  <si>
    <t>XLR HEMBRA  A TA5-F</t>
  </si>
  <si>
    <t>Cable adaptador de linea/Microfono Belden/Neutrik / Com In 2</t>
  </si>
  <si>
    <t>Mini Plug A XLR-H</t>
  </si>
  <si>
    <t>Cable adaptador de linea/Microfono Belden/Neutrik / RET C</t>
  </si>
  <si>
    <t>XL-WPH3</t>
  </si>
  <si>
    <t>S/N</t>
    <phoneticPr fontId="1" type="noConversion"/>
  </si>
  <si>
    <t>LEMO®-5 to XLR-M and XLR-F</t>
  </si>
  <si>
    <t>CABLES Y ACCESORIOS SCORPIO / 888</t>
  </si>
  <si>
    <t>Icon</t>
  </si>
  <si>
    <t>Platform M+</t>
  </si>
  <si>
    <t>009CLNFR7SI0</t>
  </si>
  <si>
    <t>Controlador Master</t>
  </si>
  <si>
    <t>Platform D</t>
  </si>
  <si>
    <t>(21) 1FI17257</t>
  </si>
  <si>
    <t xml:space="preserve">Display Controlador Expander </t>
  </si>
  <si>
    <t>Cable Display</t>
  </si>
  <si>
    <t>Cable para Display Controlador Master y Expander</t>
  </si>
  <si>
    <t>USB A/B</t>
  </si>
  <si>
    <t>/</t>
  </si>
  <si>
    <t>Cable USB A/B</t>
  </si>
  <si>
    <t>GP305B-120-250</t>
  </si>
  <si>
    <t>Fuente Alimentacion Controlador</t>
  </si>
  <si>
    <t>AURICULARES</t>
  </si>
  <si>
    <t>ATH-M50X Violet</t>
  </si>
  <si>
    <t>Auriculares Profesionales Azules</t>
  </si>
  <si>
    <t xml:space="preserve">ATH-M20X </t>
  </si>
  <si>
    <t>Auriculares SemiProfesionales Con Adaptaror Mic</t>
  </si>
  <si>
    <t>Auriculares SemiProfesionales</t>
  </si>
  <si>
    <t>Sennheiser</t>
  </si>
  <si>
    <t>Amperior</t>
  </si>
  <si>
    <t xml:space="preserve">Auriculares profesionales </t>
  </si>
  <si>
    <t>Bose</t>
    <phoneticPr fontId="1"/>
  </si>
  <si>
    <t>Companion 2 serie II</t>
    <phoneticPr fontId="1"/>
  </si>
  <si>
    <t>040274Z91501082BP</t>
    <phoneticPr fontId="1"/>
  </si>
  <si>
    <t>Monitores De Audio</t>
  </si>
  <si>
    <t>Idx</t>
    <phoneticPr fontId="1" type="noConversion"/>
  </si>
  <si>
    <t>NP-9X</t>
  </si>
  <si>
    <t>NA1TA12E0133</t>
  </si>
  <si>
    <t>Bateria B 2021</t>
  </si>
  <si>
    <t>NA1TA12E0130</t>
  </si>
  <si>
    <t>Bateria A 2021</t>
  </si>
  <si>
    <t>JL-2 Plus</t>
  </si>
  <si>
    <t>JS-10504</t>
    <phoneticPr fontId="1" type="noConversion"/>
  </si>
  <si>
    <t>Cargador baterias NP-L7S</t>
    <phoneticPr fontId="1" type="noConversion"/>
  </si>
  <si>
    <t>Watson</t>
  </si>
  <si>
    <t>8-Bay</t>
  </si>
  <si>
    <t>Cargador para pilas recargables AA/AAA NiMH o NiCd</t>
  </si>
  <si>
    <t xml:space="preserve">EBL </t>
  </si>
  <si>
    <t>M7012</t>
  </si>
  <si>
    <t>8 Bay Smart 1.5V AA/AAA Li-ion Battery Charger</t>
  </si>
  <si>
    <t>Sanya</t>
    <phoneticPr fontId="1" type="noConversion"/>
  </si>
  <si>
    <t>TG-1000</t>
    <phoneticPr fontId="1" type="noConversion"/>
  </si>
  <si>
    <t>Cargador Pilas AA/AAA</t>
    <phoneticPr fontId="1" type="noConversion"/>
  </si>
  <si>
    <t>EBL</t>
  </si>
  <si>
    <t>Baterías de litio AA recargables de 1,5 V, 3000 mWh X8</t>
  </si>
  <si>
    <t>Baterías de litio AA, baterías AA recargables de 1,5 V, 3000 mWh, batería doble A, 8 unidades</t>
  </si>
  <si>
    <t xml:space="preserve">Panasonic </t>
  </si>
  <si>
    <t>Eneloop Pro AA 2550mAh (Min. 2450mAh) Batteries</t>
  </si>
  <si>
    <t>Eneloop Pro AA 2550mAh (Min. 2450mAh) Batteries  28 unidades</t>
  </si>
  <si>
    <t>Remote Audio</t>
    <phoneticPr fontId="1" type="noConversion"/>
  </si>
  <si>
    <t>BDS v3</t>
    <phoneticPr fontId="1" type="noConversion"/>
  </si>
  <si>
    <t>Distribuidor 12 Volt</t>
    <phoneticPr fontId="1" type="noConversion"/>
  </si>
  <si>
    <t>NP-1 adaptor for BDS input; (New Style) to Hirose 4 Male / 4 Fem To TA4F</t>
  </si>
  <si>
    <t>BDS Power Input Adapter</t>
  </si>
  <si>
    <t>BDS Out ; (New Style) to VR-Field Male</t>
  </si>
  <si>
    <t>BDS Power Out Adapter</t>
  </si>
  <si>
    <t>XLR HEMBRA  A  XLR MACHO</t>
  </si>
  <si>
    <t>CANARE CELESTE</t>
  </si>
  <si>
    <t>BELDEN NEGRO</t>
    <phoneticPr fontId="1"/>
  </si>
  <si>
    <t xml:space="preserve">BELDEN NEGRO </t>
  </si>
  <si>
    <t>CANARE ROJO</t>
  </si>
  <si>
    <t>RAPCO NEGRO</t>
  </si>
  <si>
    <t>CABLES 50 OHMS</t>
  </si>
  <si>
    <t xml:space="preserve">BNC A BNC </t>
    <phoneticPr fontId="1"/>
  </si>
  <si>
    <t>BELDEN Cable 50 Ohms (VR-Field)</t>
    <phoneticPr fontId="1"/>
  </si>
  <si>
    <t>SMA  Macho L A BNC L</t>
  </si>
  <si>
    <t>Cable 50 Ohms Transparente (SR)</t>
  </si>
  <si>
    <t>HangTon</t>
  </si>
  <si>
    <t>MINIPLUG TO 6PIN LEMO</t>
  </si>
  <si>
    <t>Cable de audio de 0.138 in (TRS a 6 pines, ángulo recto de 90 grados para cámara ARRI Alexa Mini LF de 90 grados)</t>
  </si>
  <si>
    <t>CANARE/NEUTRIK</t>
    <phoneticPr fontId="1" type="noConversion"/>
  </si>
  <si>
    <t xml:space="preserve">CABLE DE AUDIO ADAPTADOR </t>
    <phoneticPr fontId="1" type="noConversion"/>
  </si>
  <si>
    <t>XLR HEMBRA A RCA MACHO</t>
    <phoneticPr fontId="1" type="noConversion"/>
  </si>
  <si>
    <t>XLR MACHO A RCA MACHO</t>
    <phoneticPr fontId="1" type="noConversion"/>
  </si>
  <si>
    <t xml:space="preserve">XLR HEMBRA A TRS </t>
    <phoneticPr fontId="1" type="noConversion"/>
  </si>
  <si>
    <t>XLR MACHO A TRS</t>
    <phoneticPr fontId="1" type="noConversion"/>
  </si>
  <si>
    <t>XLR HEMBRA A XLR MACHO X2</t>
    <phoneticPr fontId="1" type="noConversion"/>
  </si>
  <si>
    <t xml:space="preserve">Y CABLE DE AUDIO ADAPTADOR </t>
    <phoneticPr fontId="1" type="noConversion"/>
  </si>
  <si>
    <t>XLR HEMBRA A TRS HEMBRA</t>
    <phoneticPr fontId="1" type="noConversion"/>
  </si>
  <si>
    <t>XLR HEMBRA A PLUG TS MACHO</t>
    <phoneticPr fontId="1" type="noConversion"/>
  </si>
  <si>
    <t>CANARE/NEUTRIK</t>
  </si>
  <si>
    <t>XRL MACHO A PLUG TS MACHO</t>
    <phoneticPr fontId="1" type="noConversion"/>
  </si>
  <si>
    <t>XLR MACHO A MINIPLUG</t>
    <phoneticPr fontId="1" type="noConversion"/>
  </si>
  <si>
    <t>CANARE/SWICHCRAFT</t>
    <phoneticPr fontId="1" type="noConversion"/>
  </si>
  <si>
    <t>CABLE DE AUDIO ADAPTADOR (MONO X2)</t>
    <phoneticPr fontId="1" type="noConversion"/>
  </si>
  <si>
    <t>RCA MACHO X2 A RCA MACHO X2</t>
    <phoneticPr fontId="1" type="noConversion"/>
  </si>
  <si>
    <t>GENERICO</t>
    <phoneticPr fontId="1" type="noConversion"/>
  </si>
  <si>
    <t>PLUG TS A RCA MACHO</t>
    <phoneticPr fontId="1" type="noConversion"/>
  </si>
  <si>
    <t>RCA MACHO A RCA MACHO</t>
    <phoneticPr fontId="1" type="noConversion"/>
  </si>
  <si>
    <t>RCA MACHO A RCA HEMBRA X2</t>
    <phoneticPr fontId="1" type="noConversion"/>
  </si>
  <si>
    <t>RCA HEMBRA A RCA MACHO X2</t>
    <phoneticPr fontId="1" type="noConversion"/>
  </si>
  <si>
    <t>MINIPLUG A RCA X2</t>
    <phoneticPr fontId="1" type="noConversion"/>
  </si>
  <si>
    <t>INTERLOCK</t>
    <phoneticPr fontId="1" type="noConversion"/>
  </si>
  <si>
    <t>CABLE DE ALIMENTACION 220 VOLT</t>
    <phoneticPr fontId="1" type="noConversion"/>
  </si>
  <si>
    <t>BNC HEMBRA A BNC HEMBRA  BARREL</t>
  </si>
  <si>
    <t>GENERICO</t>
  </si>
  <si>
    <t>ADAPTADOR DE RF</t>
  </si>
  <si>
    <t>VALIJAS / ESTUCHES RIGIDOS</t>
  </si>
  <si>
    <t>CARRO</t>
  </si>
  <si>
    <t>Zorra Aluminio</t>
  </si>
  <si>
    <t>Aluminio</t>
  </si>
  <si>
    <t>CARRO DE SONIDO</t>
  </si>
  <si>
    <t>Pelican</t>
  </si>
  <si>
    <t>Negro</t>
  </si>
  <si>
    <t>Valija (63 x 50 x 30.2 cm) Vacias (8.85 kg)</t>
  </si>
  <si>
    <t>Valija (62.6 x 49.2 x 35 cm) Vacias (9.62 kg)</t>
  </si>
  <si>
    <t>Petrol</t>
  </si>
  <si>
    <t>PEHR-N</t>
  </si>
  <si>
    <t>Audio Harnesses</t>
  </si>
  <si>
    <t>FAJAS / LIGAS PARA MICROFONOS</t>
  </si>
  <si>
    <t>Sevenphunk 1</t>
  </si>
  <si>
    <t>Liga Large</t>
  </si>
  <si>
    <t>Beige</t>
  </si>
  <si>
    <t>Ligas Para Transmisor</t>
  </si>
  <si>
    <t>Sevenphunk 2</t>
  </si>
  <si>
    <t>Sevenphunk 3</t>
  </si>
  <si>
    <t>Sevenphunk 4</t>
  </si>
  <si>
    <t>Liga Medium</t>
  </si>
  <si>
    <t>Liga Small</t>
  </si>
  <si>
    <t>MONITOR DE VIDEO</t>
  </si>
  <si>
    <t>SmartScope Duo 4K 2, Monitoreo dual de 8 "3 RU SDI / HD-SDI / 3G-SDI / 6G-SDI con osciloscopios incorporados para monitoreo técnico de formas de onda.</t>
  </si>
  <si>
    <t>CMIT5U , Capsula Super Hipercardioide C</t>
  </si>
  <si>
    <t>CMIT5U , Capsula Super Hipercardioide D</t>
  </si>
  <si>
    <t>FOAM ANTIVIENTO</t>
  </si>
  <si>
    <t>MICROFONO LAVALIER DPA 6060 NEGRO</t>
  </si>
  <si>
    <t>MICROFONO LAVALIER MINI DPA 6060 PIEL</t>
  </si>
  <si>
    <t>CANAS</t>
  </si>
  <si>
    <t>TRANSMISORES DIGITALES WIDEBAND A1/B1</t>
  </si>
  <si>
    <t>TRANSMISORES DIGITALES WIDEBAND A1/B2</t>
  </si>
  <si>
    <t>TRANSMISORES DIGITALES WIDEBAND A1/B3</t>
  </si>
  <si>
    <t>TRANSMISORES DIGITALES WIDEBAND A1/B4</t>
  </si>
  <si>
    <t>TRANSMISORES DIGITALES WIDEBAND A1/B5</t>
  </si>
  <si>
    <t>TRANSMISORES DIGITALES WIDEBAND A1/B6</t>
  </si>
  <si>
    <t>SISTEMAS INALAMBRICOS DIGITALES WIDEBAND A1/B7</t>
  </si>
  <si>
    <t>SISTEMAS INALAMBRICOS DIGITALES WIDEBAND A1/B8</t>
  </si>
  <si>
    <t>SISTEMAS INALAMBRICOS DIGITALES WIDEBAND A1/B9</t>
  </si>
  <si>
    <t>DISTRIBUIDOR DE AURICULARES AUDIO TECHNICA</t>
  </si>
  <si>
    <t>IFB TRANSMISOR (214.000.220 MHZ)</t>
  </si>
  <si>
    <t>GRABADORA SCORPIO III / 32 CANALES</t>
  </si>
  <si>
    <t>CABLES Y ACCESORIOS SCORPIO / 889</t>
  </si>
  <si>
    <t>CABLES Y ACCESORIOS SCORPIO / 890</t>
  </si>
  <si>
    <t>CABLES Y ACCESORIOS SCORPIO / 891</t>
  </si>
  <si>
    <t>CABLES Y ACCESORIOS SCORPIO / 892</t>
  </si>
  <si>
    <t>MONITORES</t>
  </si>
  <si>
    <t>CARGADORES/BATERIAS IDX-1</t>
  </si>
  <si>
    <t>CARGADORES/BATERIAS IDX-2</t>
  </si>
  <si>
    <t>CARGADORES/BATERIAS IDX-3</t>
  </si>
  <si>
    <t>CARGADORES/BATERIAS AA</t>
  </si>
  <si>
    <t>DISTRIBUIDORES 12 VOLT</t>
  </si>
  <si>
    <t>CABLE XLR</t>
  </si>
  <si>
    <t>CABLES ALEXA</t>
  </si>
  <si>
    <t>CABLES ADAPTADORES</t>
  </si>
  <si>
    <t>ARNES</t>
  </si>
  <si>
    <t>ACCESORIOS DIT</t>
  </si>
  <si>
    <t>LIBERO</t>
  </si>
  <si>
    <t>ALFA</t>
  </si>
  <si>
    <t>FABIAN MUNNE RENTAL</t>
  </si>
  <si>
    <t>Transmisor Digital Block A1 / B1 (470.100 - 614.300)</t>
  </si>
  <si>
    <t>Transmisor Digital Plug-On Block A1 / B1 (470.100 - 614.300)</t>
  </si>
  <si>
    <t>Receptor Block A1-B1 (470.100 - 614.375)</t>
  </si>
  <si>
    <t>SERIE</t>
  </si>
  <si>
    <t>PROVEEDOR</t>
  </si>
  <si>
    <t>RUBRO</t>
  </si>
  <si>
    <t>Antenas</t>
  </si>
  <si>
    <t>DMX Controlller</t>
  </si>
  <si>
    <t>ALD00282231588</t>
  </si>
  <si>
    <t>Adaptadores</t>
  </si>
  <si>
    <t xml:space="preserve">xlr canon </t>
  </si>
  <si>
    <t>sin serial</t>
  </si>
  <si>
    <t>Nodo</t>
  </si>
  <si>
    <t>Router</t>
  </si>
  <si>
    <t>TP Link wireless archer ax55 ax3000 dual</t>
  </si>
  <si>
    <t>221A1W9004688</t>
  </si>
  <si>
    <t>Ipad</t>
  </si>
  <si>
    <t>Apple iPad 90 10.2" 256 gb silver</t>
  </si>
  <si>
    <t>FWXVFX24MV</t>
  </si>
  <si>
    <t>Storm IM 2300</t>
  </si>
  <si>
    <t>JEFE ELECTRICOS</t>
  </si>
  <si>
    <t xml:space="preserve">1 CAMARA SONY A7SIII ILCE-7SM3 BODY </t>
  </si>
  <si>
    <t>S/N 4972937</t>
  </si>
  <si>
    <t xml:space="preserve">1 BATERIA SONY NP-FZ100 #1 </t>
  </si>
  <si>
    <t>S/N 6HA2W9Z2KMTRKT</t>
  </si>
  <si>
    <t>1 BATERIA SONY NP-FZ100 #2</t>
  </si>
  <si>
    <t xml:space="preserve"> S/N F63259P24FBTN7 </t>
  </si>
  <si>
    <t xml:space="preserve">1 BATERIA SONY NP-FZ100 #3 </t>
  </si>
  <si>
    <t>S/N ULU269L25L6968</t>
  </si>
  <si>
    <t>1 BATERIA SONY NP-FZ100 #4</t>
  </si>
  <si>
    <t xml:space="preserve"> S/N VL3279624EHE8Y</t>
  </si>
  <si>
    <t xml:space="preserve">1 BATERIA SONY NP-FZ100 #5 </t>
  </si>
  <si>
    <t>S/N TBT279223539MY</t>
  </si>
  <si>
    <t>1 SONY BC-QZ1 BATTERY CHARGER #1 C/ INTERLOCK</t>
  </si>
  <si>
    <t xml:space="preserve"> S/N 20125PA1006459</t>
  </si>
  <si>
    <t>1 SONY BC-QZ1 BATTERY CHARGER #2 C/ INTERLOCK</t>
  </si>
  <si>
    <t xml:space="preserve"> S/N 20075PA1009468</t>
  </si>
  <si>
    <t xml:space="preserve">1 SONY MRW-G2 CFEXPRESS TYPE A/SD MEMORY CARD READER W/ 2X USB-C TO USB 3.0 + 1X USB-C TO USB-C CABLE </t>
  </si>
  <si>
    <t xml:space="preserve">S/N 30010403101480 </t>
  </si>
  <si>
    <t xml:space="preserve">1 TILTA FULL CAMERA CAGE FOR SONY A7S III </t>
  </si>
  <si>
    <t xml:space="preserve">3 SONY 80GB CFEXPRESS TYPE A TOUGH MEMORY CARD W/ CRISTAL CASE  </t>
  </si>
  <si>
    <t>1 TILTA QUICK RELEASE TOP HANDLE</t>
  </si>
  <si>
    <t>1 TILTA 15MM LWS BASEPLATE TYPE II</t>
  </si>
  <si>
    <t>1 TILTA 15MM ALUMINUM ROD PAIR</t>
  </si>
  <si>
    <t xml:space="preserve">1 TILTA QUICK RELEASE PLATE FOR SONY A7S III </t>
  </si>
  <si>
    <t xml:space="preserve">1 TILTA 10'' LIGHTWEIGHT DOVETAIL PLATE (BLACK) </t>
  </si>
  <si>
    <t xml:space="preserve">1 WOODEN CAMERA PL TO SONY E MOUNT PRO ADAPTER </t>
  </si>
  <si>
    <t>1 CABLE BLINDADO DE VIDEO Y AUDIO, HDMI (BLACK) 50CM</t>
  </si>
  <si>
    <t>1 CASE PELICAN</t>
  </si>
  <si>
    <t>LTW</t>
  </si>
  <si>
    <t>CAMARA Y ACCESORIOS DE CAMARA</t>
  </si>
  <si>
    <t>1 U-BANGI 1,40 MTS CONTRAPESO ADAPTADOR EURO CARRO MITCHELL</t>
  </si>
  <si>
    <t>1 PHANTER CLASSIC # 03 - 202</t>
  </si>
  <si>
    <t>1 ACCESORIOS CAJA 1</t>
  </si>
  <si>
    <t>1 ACCESORIOS CAJA 2</t>
  </si>
  <si>
    <t>2 PVT # 1,2118</t>
  </si>
  <si>
    <t>2 TELAS 4*4 MATTHEWS SILVER 1/3, 3/3</t>
  </si>
  <si>
    <t>1 TELAS 4*4 EGG RATE #3/5</t>
  </si>
  <si>
    <t>1 TELAS 2*2 MATTHEWS SILVER #5/9</t>
  </si>
  <si>
    <t>2 KIT DE TELAS 2*2 MTS 2,1,1/25</t>
  </si>
  <si>
    <t>2 TAMIZADORES 2*2 # 1,11, 1/20</t>
  </si>
  <si>
    <t>2 KIT DE TELAS 4*4 MTS 6,21,1/30</t>
  </si>
  <si>
    <t>2 TAMIZADORES 4*4 # 9,10, 1/25</t>
  </si>
  <si>
    <t>1 KIT DE TELAS 6*6 MTS 5,6,9,1/25</t>
  </si>
  <si>
    <t>1 TAMIZADORES 6*6 MTS # 18/20</t>
  </si>
  <si>
    <t>1 TRACK DOLLY + CAJA # 2/12</t>
  </si>
  <si>
    <t>4 TRAMOS DE VIAS RECTOS X 2 MTS. # 1,2,11,12/20</t>
  </si>
  <si>
    <t>1 LOW PLATFORM - PHANTER # 1/2</t>
  </si>
  <si>
    <t>ESCALERA DE FIBRA 6 ESCALONES 6/16</t>
  </si>
  <si>
    <t>ESCALERA DE FIBRA 8 ESCALONES 11/14</t>
  </si>
  <si>
    <t>ESCALERA DE FIBRA 12 ESCALONES 6/12</t>
  </si>
  <si>
    <t>ESCALERA EXTENSIBLE 4,90 A 8,90 2/12</t>
  </si>
  <si>
    <t>10 TRES MEDIDAS GRANDES</t>
  </si>
  <si>
    <t>10 TRES MEDIDAS MEDIANO</t>
  </si>
  <si>
    <t>10 TRES MEDIDAS CHICOS</t>
  </si>
  <si>
    <t>1 CARRETA NEUMATICA CON ZUNCHOS</t>
  </si>
  <si>
    <t>30 BOLSAS DE ARENA</t>
  </si>
  <si>
    <t>1 SET POR 20 PLAQUETAS</t>
  </si>
  <si>
    <t>2 SET POR 40 CUNAS</t>
  </si>
  <si>
    <t>1 SET DE PLAQUETINES</t>
  </si>
  <si>
    <t>1 CARRETA DE TRANSPORTE GRIP 6/8</t>
  </si>
  <si>
    <t>3 PESAS CHANCHAS</t>
  </si>
  <si>
    <t>3 SKYPANEL S30 C ARRI C/CAJA 5/6</t>
  </si>
  <si>
    <t>3 SKYPANEL S60 C ARRI C/CAJA 15/1/27</t>
  </si>
  <si>
    <t>1 SKYPANEL S120 C ARRI C/CAJA 5</t>
  </si>
  <si>
    <t>5 SKYBENDER S30/ S60 / S120  C ARRI C/CAJA 2/2/1</t>
  </si>
  <si>
    <t>2 CHIMERA S30 S60 CON EGG CRATE</t>
  </si>
  <si>
    <t>1 KINO FLO SELECT LED 30 DMX C/CAJA 6</t>
  </si>
  <si>
    <t>1 KINO FLO SELECT LED 20 DMX C/CAJA 6</t>
  </si>
  <si>
    <t>2 KINO FLO BANK SYSTEM 4 TUBOS 0,60 MTS 3200K</t>
  </si>
  <si>
    <t>2 KINO FLO BANK SYSTEM 2 TUBOS 1,2 MTS 3200K</t>
  </si>
  <si>
    <t>2 ARRI JUNIOR 5000W</t>
  </si>
  <si>
    <t>2 ARRI JUNIOR PLU5 1000W</t>
  </si>
  <si>
    <t>2 ARRI JUNIOR PLU5 300W</t>
  </si>
  <si>
    <t>2 PAR 64 SPOT 1000W</t>
  </si>
  <si>
    <t>1 HMI ARRISUN  6KW # 1600 HS 2378 B# 605018906</t>
  </si>
  <si>
    <t>1 HMI ARRISUN  4KW # 1697 HS 2378 B# 427027996</t>
  </si>
  <si>
    <t>1 HMI ARRISUN  4KW # 6012 HS 2032 B# 427023296</t>
  </si>
  <si>
    <t>1 HMI ARRISUN  1,2 KW # 3752 HS 2554 B# 121795502</t>
  </si>
  <si>
    <t>2 TABLERO DE CONEXION DE 12 TOMAS</t>
  </si>
  <si>
    <t>1 DISTROBOX CON 5 CHICOTES</t>
  </si>
  <si>
    <t>2 JABALINA CON BORNERA Y CHICOTE</t>
  </si>
  <si>
    <t xml:space="preserve">8 LINEA 1 X 70 MM X 25 MTS </t>
  </si>
  <si>
    <t>8 LINEA 2 X 35 MM X 25 MTS</t>
  </si>
  <si>
    <t xml:space="preserve">2 LINEA 1 X 50 MM X 25 MTS </t>
  </si>
  <si>
    <t>1 CARRO NEUMATICO DE LINEAS GRANDE</t>
  </si>
  <si>
    <t xml:space="preserve">1 CARRO NEUMATICO PARA ALARGUES Y ZAPATILLAS CHICO </t>
  </si>
  <si>
    <t>1 CARRO DE ACCESORIOS: 20 ARTICULACIONES 2 1/2, 4 ARTICULACIONES 4 1/2, 6 PINZAS PELICANO, 6 COCODRILO, 6 PINZAS MAFFER, 6 GARRAS LOCALL, 2 DEDOS MAGICOS, 2 BASE DE PISO MANFROTTO, 2 BRAZOS TORO, 2 PINZAS GRIS, 4 BRAZOS MAGICOS, 2 BASE DE PISO MANFROTTO, 2 PERNOS MOLE, 4 BARRAS CORTA</t>
  </si>
  <si>
    <t>1 CARRO DE TRIPODES "COMBO" x 16: 6 "COMBO" A100 - 6 "COMBO 110 "COMBO" 120</t>
  </si>
  <si>
    <t>1 CARRO DE TRIPODES "C" x 16: 4 "0" 205 - 4 "0" 215-4 "C"225 C 225 -BARRAS LARGAS - 4 PORTATELGOS</t>
  </si>
  <si>
    <t>4 ALARGUES 20/20 X 25 MTS</t>
  </si>
  <si>
    <t>20 ALARGUES 20/20 X 10 MTS</t>
  </si>
  <si>
    <t>20 ALARGUES 10/10 X 10 MTS</t>
  </si>
  <si>
    <t>15 ZAPATILLAS 20 A * 10 MTS</t>
  </si>
  <si>
    <t>15 ZAPATILLAS 10 A * 10 MTS</t>
  </si>
  <si>
    <t>2 DERIVACIONES CAM LOCK</t>
  </si>
  <si>
    <t>1 KIT ASTERA TITAN NRO. 1 C/VALIJA</t>
  </si>
  <si>
    <t>2 CAJONES PLASTICOS GRANDES</t>
  </si>
  <si>
    <t>1 KIT ASTERA BULB NRO. 1 C/VALIJA</t>
  </si>
  <si>
    <t>1 KIT VELVET EVO 2 NRO. 8  C/VALIJA</t>
  </si>
  <si>
    <t>1 KIT EGGCRATE ASTERA TITAN NRO 8</t>
  </si>
  <si>
    <t>1 GENERADOR SOBRE RUEDAS TRIFASICO  CJD135  X 110 KW / 135 KVA 21 HS SALIDA 5374 % COMB. 44</t>
  </si>
  <si>
    <t>8 PROTECTOR DE CABLE X 1M</t>
  </si>
  <si>
    <t>1 GENERADORES PORTATILES HONDA EU70 EESD 1100996</t>
  </si>
  <si>
    <t>1 GENERADORES PORTATILES HONDA EU65 EASJ  1242050</t>
  </si>
  <si>
    <t>1 GENERADORES PORTATILES HONDA EU30 E2GF 1562282</t>
  </si>
  <si>
    <t xml:space="preserve"> 1 GENERADORES PORTATILES HONDA EU20 EACT 1114337</t>
  </si>
  <si>
    <t>1 CARRO NEUMATICO PARA SET DE PASACABLES</t>
  </si>
  <si>
    <t>1 JUEGO DE LLAVES MAS SEGURO</t>
  </si>
  <si>
    <t>1 RUEDA DE AUXILIO</t>
  </si>
  <si>
    <t>2 ESLINGA</t>
  </si>
  <si>
    <t>4 GRILLETE</t>
  </si>
  <si>
    <t>BRAZO TORO AVENGER</t>
  </si>
  <si>
    <t>BRAZO TORO ALFA</t>
  </si>
  <si>
    <t>BRAZO RAMA CON 2 CRICKET</t>
  </si>
  <si>
    <t>BANDERA DE TELA NEGRA 2 x 1 mts - SOLID</t>
  </si>
  <si>
    <t>BANDERA DE TELA NEGRA 1 x 1 mts-SOLID</t>
  </si>
  <si>
    <t>2 PANTALLAS 1X1</t>
  </si>
  <si>
    <t>1 MARCO 2X1 MTS</t>
  </si>
  <si>
    <t>4 MARCO 1,2 X 1,2  MTS</t>
  </si>
  <si>
    <t>4 MARCO 1 X 1  MTS</t>
  </si>
  <si>
    <t>2 MARCO 0,5 X 0,5  MTS</t>
  </si>
  <si>
    <t>4 BANDERA DE TELA NEGRA 2 x 1 mts - SOLID</t>
  </si>
  <si>
    <t>6 BANDERA DE TELA NEGRA 1 x 1 mts-SOLID</t>
  </si>
  <si>
    <t>1 KIT DE BANDERAS "ALFA" x 10</t>
  </si>
  <si>
    <t>2 BOOM AVENGER</t>
  </si>
  <si>
    <t>1 AUTOPOLE MANFROTTO 1,8 * 3,6</t>
  </si>
  <si>
    <t>1 AUTOPOLE MANFROTTO 1 * 1,7</t>
  </si>
  <si>
    <t>2 EXTENSOR PARA TRIPODES MANFROTTO</t>
  </si>
  <si>
    <t>1 BARRA 4 MTS DE LARGO CON DOBLE PERNO</t>
  </si>
  <si>
    <t>2 SARGENTO P/ PERNO 28</t>
  </si>
  <si>
    <t>2 TRIPODE AVENGER B140</t>
  </si>
  <si>
    <t>2 TRIPODE AVENGER B100</t>
  </si>
  <si>
    <t>2 TRIPODE HI HI WALKER C/ARTICULACION 4 1/2</t>
  </si>
  <si>
    <t xml:space="preserve">2 TRIPODE AVENGER A310 CON ARTICULACION </t>
  </si>
  <si>
    <t xml:space="preserve">3 TRIPODE AVENGER A302 CON ARTICULACION </t>
  </si>
  <si>
    <t>2 TRIPODE AVENGER B140 JUNIOR</t>
  </si>
  <si>
    <t>2 ORBITAR ARRI CON KIT FACE</t>
  </si>
  <si>
    <t>1 CHIMERA CON EGG CRATE PARA ORBITAR</t>
  </si>
  <si>
    <t>CANOS 19-15 MM MEDIOS H2 X2 LARGOS X2 CORTOS X2</t>
  </si>
  <si>
    <t>TRIPODE MITCHEL ALTO MEDIO</t>
  </si>
  <si>
    <t>CAMARA DIGITAL ALEXA  # 30908</t>
  </si>
  <si>
    <t>2 MONTURA</t>
  </si>
  <si>
    <t>ELECTRIC VIEWFINDER #  01671</t>
  </si>
  <si>
    <t>1 ANTENA WIRELESS</t>
  </si>
  <si>
    <t xml:space="preserve">1 RAIN COVER </t>
  </si>
  <si>
    <t>1 PEN DRIVE</t>
  </si>
  <si>
    <t>1 CABLE DE ALIMENTACION ARRI</t>
  </si>
  <si>
    <t>1 BATTERY PLATE</t>
  </si>
  <si>
    <t xml:space="preserve">2  CARGADOR BATERIAS ONBOARD IDX </t>
  </si>
  <si>
    <t>6 BATERIAS ONBOARD IDX # 12, # 31, # 73, # 39, # 59, # 62</t>
  </si>
  <si>
    <t>3 HARD DRIVE AXSM # 4214, # 4217, # 4227</t>
  </si>
  <si>
    <t>2 LECTORA DE TARJETAS AXSM # 2005, # 1965</t>
  </si>
  <si>
    <t>2 CABLES LECTORA</t>
  </si>
  <si>
    <t>1 IPAD # LM93</t>
  </si>
  <si>
    <t>LENTE CARL ZEISS PRIME T 1.5  MM # 21  # 50101089</t>
  </si>
  <si>
    <t>LENTE CARL ZEISS PRIME T 1.5  MM # 25  # 50091623</t>
  </si>
  <si>
    <t>LENTE CARL ZEISS PRIME T 1.5  MM # 29  # 50108081</t>
  </si>
  <si>
    <t>LENTE CARL ZEISS PRIME T 1.5  MM # 35  # 50095618</t>
  </si>
  <si>
    <t>LENTE CARL ZEISS PRIME T 1.5  MM # 50  # 50097110</t>
  </si>
  <si>
    <t>LENTE CARL ZEISS PRIME T 1.5  MM # 85  # 50098611</t>
  </si>
  <si>
    <t>LENTE CARL ZEISS PRIME T 1.5  MM # 100  # 50103027</t>
  </si>
  <si>
    <t>1 DOWN CONVERTER MARSCHALL C/FUNDA</t>
  </si>
  <si>
    <t>1 FOLLOW WIRELESS # 6173MOTOR # 2649, BATERIAS X3, CARGADOR, CORREA</t>
  </si>
  <si>
    <t xml:space="preserve">1 BOLSO DE CABLES DE VIDEO </t>
  </si>
  <si>
    <t>4 BATERIAS 3/10/41/35 SWIT 4.45</t>
  </si>
  <si>
    <t>1 CARGADOR # 3722</t>
  </si>
  <si>
    <t>1 MONITOR  ONBOARD CON FUENTE TV LOGIC # 055 # 1626</t>
  </si>
  <si>
    <t>1 MONITOR ADICIONAL SONY  # 1796</t>
  </si>
  <si>
    <t>1 MONITOR ADICIONAL PANASONIC # 0008</t>
  </si>
  <si>
    <t>1 GRABADORA DIGITAL SHOGUN, BRAZO MAGICO, PERNO, CLAMP, BATERIAS, CARGADOR, FUENTE # 50F90</t>
  </si>
  <si>
    <t>1 WIRELESS VIDEO ASSIST BOLT TX 037993 RX 05075</t>
  </si>
  <si>
    <t>1 MONITOR FOCO TV LOGIC 7 CORREA CRISTAL # 0311</t>
  </si>
  <si>
    <t>12 ANTENAS WIRELESS VIDEO</t>
  </si>
  <si>
    <t>ESTRELLA METAL GOMA</t>
  </si>
  <si>
    <t>1 COLIZA NORMAL</t>
  </si>
  <si>
    <t>1 FOLLOW FOCUS ARRI FF 4, RUEDA, TRIPA , PALANCA</t>
  </si>
  <si>
    <t>1 CLIP ON ARRI LMB 25</t>
  </si>
  <si>
    <t>1 FLITROS T POLA FRAME ARRI</t>
  </si>
  <si>
    <t>1 FLITROS CLEAR  4'*5.6'</t>
  </si>
  <si>
    <t>4 ND 3/6/9/12</t>
  </si>
  <si>
    <t>4 BLACK GG</t>
  </si>
  <si>
    <t>1 CABEZAL TOP MITCHEL O ' CONNOR # 2560# 0283</t>
  </si>
  <si>
    <t>1 TRIPODE MITCHEL ALTO MEDIO</t>
  </si>
  <si>
    <t>2 ESTRELLA METAL GOMA</t>
  </si>
  <si>
    <t>1 GALERA MITCHEL O'CONNOR</t>
  </si>
  <si>
    <t>2 TRIANGULO DE MADERA</t>
  </si>
  <si>
    <t>1 STEADYBAG</t>
  </si>
  <si>
    <t>1 HAND HELD SYSTEM</t>
  </si>
  <si>
    <t>1 CLAQUETA ACRILICA C/FUNDA</t>
  </si>
  <si>
    <t>3 CARROS DE CAMARA MAGLINER</t>
  </si>
  <si>
    <t>LENTE</t>
  </si>
  <si>
    <t>DESDE</t>
  </si>
  <si>
    <t>HASTA</t>
  </si>
  <si>
    <t>DETALLE</t>
  </si>
  <si>
    <t>1 CLIP ON ARRI FILTROS X 2</t>
  </si>
  <si>
    <t>1 POLA  6 X 6</t>
  </si>
  <si>
    <t>1 CLEAR 6 X 6</t>
  </si>
  <si>
    <t>3 ND 3/6/9 6 X 6</t>
  </si>
  <si>
    <t>LENTE ARRI ULTRAPRIME 2 T MM:10  # 8858441</t>
  </si>
  <si>
    <t>1 DOLLY CINETECH SUPERFALCON II  1/2</t>
  </si>
  <si>
    <t>CINETECH ACCESORIOS, COMANDO, 8 NEUMATIC WHEELS, EURO ADAPTER, ETC</t>
  </si>
  <si>
    <t>PESAS DE ARENA KIT X 10</t>
  </si>
  <si>
    <t>4 ARTICULACION 4 1/2 AVENGER</t>
  </si>
  <si>
    <t>1 FOLLOW WIRELESS # 7431 SKU 1</t>
  </si>
  <si>
    <t>1 TRUE POLA</t>
  </si>
  <si>
    <t>TRUCKS PRECISION, TAPON MATTHEWS, 2 MTS</t>
  </si>
  <si>
    <t>CAJON CUNAS, KIT PLAQUETAS POR 20</t>
  </si>
  <si>
    <t>2 TRIPODE AVENGER A 420 JUNIOR</t>
  </si>
  <si>
    <t>2 BANDERA DE TELA NEGRA 1,2 x 1,2 mts - AVENGER SOLID</t>
  </si>
  <si>
    <t>1 DOLLY PHANTER CLASSIC</t>
  </si>
  <si>
    <t>4 VIAS MATTHEWS X 2,2</t>
  </si>
  <si>
    <t>2 VIAS MATTHEWS X 1,2</t>
  </si>
  <si>
    <t>2 VIAS PRECISION CURVAS</t>
  </si>
  <si>
    <t>2 SET POR 40 CUNAS + 1 SET DE PLAQUETAS X 20</t>
  </si>
  <si>
    <t>1 EASY RIG LLAVE ALLEN # 32965</t>
  </si>
  <si>
    <t>LENTE ZOOM CENTURY SERIES 200  2.8 300. # 12821</t>
  </si>
  <si>
    <t xml:space="preserve">MATE BOY OCONNER CON DOS PORTAFILTROS </t>
  </si>
  <si>
    <t>1 ACC.DOLLY  VARO JR</t>
  </si>
  <si>
    <t>1 CARRO MITCHEL P/UBANGI</t>
  </si>
  <si>
    <t>1 BARRA CONTRAPESO + SEGURO P/UBANGI</t>
  </si>
  <si>
    <t>1 ADAPTADOR EURO P/UBANGI</t>
  </si>
  <si>
    <t>5 VALIJAS VELVET EVO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</si>
</sst>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General"/>
    <numFmt numFmtId="165" formatCode="&quot;$&quot;#,##0_);[Red]\(&quot;$&quot;#,##0\)"/>
    <numFmt numFmtId="166" formatCode="&quot;$&quot;#,##0.00_);[Red]\(&quot;$&quot;#,##0.00\)"/>
  </numFmts>
  <fonts count="33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7.5"/>
      <name val="Arial MT"/>
      <family val="2"/>
    </font>
    <font>
      <sz val="12"/>
      <name val="Arial MT"/>
      <family val="2"/>
    </font>
    <font>
      <sz val="12"/>
      <name val="Arial MT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1"/>
      <color rgb="FF222222"/>
      <name val="Arial1"/>
    </font>
    <font>
      <sz val="11"/>
      <color rgb="FF222222"/>
      <name val="&quot;Helvetica Neue&quot;"/>
    </font>
    <font>
      <sz val="12"/>
      <color rgb="FF313131"/>
      <name val="Arial1"/>
    </font>
    <font>
      <sz val="11"/>
      <color rgb="FF000000"/>
      <name val="Calibri"/>
      <family val="2"/>
    </font>
    <font>
      <sz val="12"/>
      <color rgb="FF222222"/>
      <name val="Tahoma"/>
      <family val="2"/>
    </font>
    <font>
      <sz val="12"/>
      <color rgb="FF222222"/>
      <name val="Arial"/>
      <family val="2"/>
    </font>
    <font>
      <sz val="11"/>
      <color rgb="FF000000"/>
      <name val="Helvetica Neue"/>
      <family val="2"/>
    </font>
    <font>
      <sz val="11"/>
      <name val="Calibri"/>
      <family val="2"/>
      <scheme val="minor"/>
    </font>
    <font>
      <sz val="7"/>
      <name val="Arial Narrow"/>
      <family val="2"/>
    </font>
    <font>
      <sz val="7"/>
      <color rgb="FF111111"/>
      <name val="Arial"/>
      <family val="2"/>
    </font>
    <font>
      <b/>
      <sz val="7"/>
      <color theme="1"/>
      <name val="Arial Narrow"/>
      <family val="2"/>
    </font>
    <font>
      <sz val="7"/>
      <color indexed="8"/>
      <name val="Arial Narrow"/>
      <family val="2"/>
    </font>
    <font>
      <b/>
      <sz val="7"/>
      <color indexed="8"/>
      <name val="Arial Narrow"/>
      <family val="2"/>
    </font>
    <font>
      <sz val="7"/>
      <color rgb="FF000000"/>
      <name val="Arial Narrow"/>
      <family val="2"/>
    </font>
    <font>
      <b/>
      <sz val="7"/>
      <color rgb="FF0432FF"/>
      <name val="Arial Narrow"/>
      <family val="2"/>
    </font>
    <font>
      <sz val="7"/>
      <color theme="1"/>
      <name val="Arial Narrow"/>
      <family val="2"/>
    </font>
    <font>
      <sz val="7"/>
      <color theme="1"/>
      <name val="Gill Sans MT"/>
      <family val="2"/>
    </font>
    <font>
      <sz val="10"/>
      <name val="Arial Narrow"/>
      <family val="2"/>
    </font>
    <font>
      <sz val="10"/>
      <color indexed="8"/>
      <name val="Arial Narrow"/>
      <family val="2"/>
    </font>
    <font>
      <sz val="7"/>
      <color rgb="FF333333"/>
      <name val="Helvetica"/>
      <family val="2"/>
    </font>
    <font>
      <b/>
      <sz val="7"/>
      <color rgb="FFFF0000"/>
      <name val="Arial Narrow"/>
      <family val="2"/>
    </font>
    <font>
      <sz val="7"/>
      <color rgb="FF111111"/>
      <name val="Arial Narrow"/>
      <family val="2"/>
    </font>
    <font>
      <sz val="11"/>
      <color theme="1"/>
      <name val="Calibri"/>
      <family val="2"/>
      <scheme val="minor"/>
    </font>
    <font>
      <sz val="6"/>
      <color theme="1"/>
      <name val="Helvetica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6" fillId="0" borderId="0" applyBorder="0" applyProtection="0"/>
  </cellStyleXfs>
  <cellXfs count="44">
    <xf numFmtId="0" fontId="0" fillId="0" borderId="0" xfId="0"/>
    <xf numFmtId="0" fontId="18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3" fillId="3" borderId="1" xfId="0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6" fillId="0" borderId="1" xfId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6" fillId="2" borderId="1" xfId="1" applyFont="1" applyFill="1" applyBorder="1" applyAlignment="1">
      <alignment horizontal="center"/>
    </xf>
    <xf numFmtId="164" fontId="7" fillId="2" borderId="1" xfId="1" applyFont="1" applyFill="1" applyBorder="1" applyAlignment="1">
      <alignment horizontal="center"/>
    </xf>
    <xf numFmtId="164" fontId="8" fillId="2" borderId="1" xfId="1" applyFont="1" applyFill="1" applyBorder="1" applyAlignment="1">
      <alignment horizontal="center"/>
    </xf>
    <xf numFmtId="164" fontId="10" fillId="2" borderId="1" xfId="1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64" fontId="10" fillId="0" borderId="1" xfId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wrapText="1"/>
    </xf>
    <xf numFmtId="0" fontId="0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9" fillId="2" borderId="1" xfId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29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65" fontId="31" fillId="0" borderId="2" xfId="0" applyNumberFormat="1" applyFont="1" applyBorder="1" applyAlignment="1">
      <alignment horizontal="center"/>
    </xf>
    <xf numFmtId="166" fontId="31" fillId="0" borderId="2" xfId="0" applyNumberFormat="1" applyFont="1" applyBorder="1" applyAlignment="1">
      <alignment horizontal="center"/>
    </xf>
    <xf numFmtId="0" fontId="32" fillId="0" borderId="1" xfId="0" applyFont="1" applyFill="1" applyBorder="1" applyAlignment="1">
      <alignment horizontal="center"/>
    </xf>
    <xf numFmtId="0" fontId="32" fillId="0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Excel Built-in Normal" xfId="1" xr:uid="{D74F7966-8494-554B-AC3F-E51130B8778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1457-4E9E-4142-9293-CA3F60F7DF26}">
  <dimension ref="A1:J425"/>
  <sheetViews>
    <sheetView tabSelected="1" topLeftCell="A399" zoomScale="150" zoomScaleNormal="150" workbookViewId="0">
      <selection activeCell="A151" sqref="A151:B151"/>
    </sheetView>
  </sheetViews>
  <sheetFormatPr baseColWidth="10" defaultRowHeight="16"/>
  <cols>
    <col min="1" max="1" width="22" style="13" bestFit="1" customWidth="1"/>
    <col min="2" max="2" width="48.5" style="13" bestFit="1" customWidth="1"/>
    <col min="3" max="3" width="28.6640625" style="13" customWidth="1"/>
    <col min="4" max="4" width="84.5" style="13" customWidth="1"/>
    <col min="5" max="6" width="27.5" style="13" customWidth="1"/>
    <col min="7" max="7" width="10.83203125" style="13"/>
    <col min="8" max="8" width="14.83203125" style="13" customWidth="1"/>
    <col min="9" max="16384" width="10.83203125" style="13"/>
  </cols>
  <sheetData>
    <row r="1" spans="1:10">
      <c r="A1" s="13" t="s">
        <v>398</v>
      </c>
      <c r="B1" s="13" t="s">
        <v>399</v>
      </c>
      <c r="C1" s="13" t="s">
        <v>608</v>
      </c>
      <c r="D1" s="13" t="s">
        <v>3</v>
      </c>
      <c r="E1" s="13" t="s">
        <v>397</v>
      </c>
      <c r="F1" s="13" t="s">
        <v>4</v>
      </c>
      <c r="G1" s="13" t="s">
        <v>5</v>
      </c>
      <c r="H1" s="13" t="s">
        <v>6</v>
      </c>
      <c r="I1" s="34" t="s">
        <v>606</v>
      </c>
      <c r="J1" s="34" t="s">
        <v>607</v>
      </c>
    </row>
    <row r="2" spans="1:10">
      <c r="A2" s="13" t="s">
        <v>111</v>
      </c>
      <c r="B2" s="13" t="s">
        <v>390</v>
      </c>
      <c r="D2" s="11" t="s">
        <v>8</v>
      </c>
      <c r="E2" s="26">
        <v>7000304</v>
      </c>
      <c r="F2" s="26"/>
      <c r="G2" s="35">
        <v>9000</v>
      </c>
      <c r="H2" s="35">
        <f t="shared" ref="H2:H246" si="0">G2*150</f>
        <v>1350000</v>
      </c>
      <c r="I2" s="34">
        <v>44819</v>
      </c>
      <c r="J2" s="34">
        <v>44865</v>
      </c>
    </row>
    <row r="3" spans="1:10">
      <c r="A3" s="13" t="s">
        <v>111</v>
      </c>
      <c r="B3" s="13" t="s">
        <v>390</v>
      </c>
      <c r="D3" s="26" t="s">
        <v>30</v>
      </c>
      <c r="E3" s="26" t="s">
        <v>9</v>
      </c>
      <c r="F3" s="26"/>
      <c r="G3" s="35">
        <v>1000</v>
      </c>
      <c r="H3" s="35">
        <f t="shared" si="0"/>
        <v>150000</v>
      </c>
      <c r="I3" s="34">
        <v>44819</v>
      </c>
      <c r="J3" s="34">
        <v>44865</v>
      </c>
    </row>
    <row r="4" spans="1:10">
      <c r="A4" s="13" t="s">
        <v>111</v>
      </c>
      <c r="B4" s="13" t="s">
        <v>390</v>
      </c>
      <c r="D4" s="11" t="s">
        <v>12</v>
      </c>
      <c r="E4" s="26">
        <v>8271654</v>
      </c>
      <c r="F4" s="26"/>
      <c r="G4" s="35">
        <v>2500</v>
      </c>
      <c r="H4" s="35">
        <f t="shared" si="0"/>
        <v>375000</v>
      </c>
      <c r="I4" s="34">
        <v>44819</v>
      </c>
      <c r="J4" s="34">
        <v>44865</v>
      </c>
    </row>
    <row r="5" spans="1:10">
      <c r="A5" s="13" t="s">
        <v>111</v>
      </c>
      <c r="B5" s="13" t="s">
        <v>390</v>
      </c>
      <c r="D5" s="11" t="s">
        <v>13</v>
      </c>
      <c r="E5" s="26" t="s">
        <v>10</v>
      </c>
      <c r="F5" s="26"/>
      <c r="G5" s="35">
        <v>200</v>
      </c>
      <c r="H5" s="35">
        <f t="shared" si="0"/>
        <v>30000</v>
      </c>
      <c r="I5" s="34">
        <v>44819</v>
      </c>
      <c r="J5" s="34">
        <v>44865</v>
      </c>
    </row>
    <row r="6" spans="1:10" ht="16" customHeight="1">
      <c r="A6" s="13" t="s">
        <v>111</v>
      </c>
      <c r="B6" s="13" t="s">
        <v>390</v>
      </c>
      <c r="D6" s="11" t="s">
        <v>15</v>
      </c>
      <c r="E6" s="26" t="s">
        <v>11</v>
      </c>
      <c r="F6" s="26"/>
      <c r="G6" s="35">
        <v>200</v>
      </c>
      <c r="H6" s="35">
        <f t="shared" si="0"/>
        <v>30000</v>
      </c>
      <c r="I6" s="34">
        <v>44819</v>
      </c>
      <c r="J6" s="34">
        <v>44865</v>
      </c>
    </row>
    <row r="7" spans="1:10">
      <c r="A7" s="13" t="s">
        <v>111</v>
      </c>
      <c r="B7" s="13" t="s">
        <v>390</v>
      </c>
      <c r="D7" s="11" t="s">
        <v>14</v>
      </c>
      <c r="E7" s="26">
        <v>7109180</v>
      </c>
      <c r="F7" s="26"/>
      <c r="G7" s="35">
        <v>250</v>
      </c>
      <c r="H7" s="35">
        <f t="shared" si="0"/>
        <v>37500</v>
      </c>
      <c r="I7" s="34">
        <v>44819</v>
      </c>
      <c r="J7" s="34">
        <v>44865</v>
      </c>
    </row>
    <row r="8" spans="1:10">
      <c r="A8" s="13" t="s">
        <v>111</v>
      </c>
      <c r="B8" s="13" t="s">
        <v>390</v>
      </c>
      <c r="D8" s="11" t="s">
        <v>16</v>
      </c>
      <c r="E8" s="26" t="s">
        <v>7</v>
      </c>
      <c r="F8" s="26"/>
      <c r="G8" s="35">
        <v>3500</v>
      </c>
      <c r="H8" s="35">
        <f t="shared" si="0"/>
        <v>525000</v>
      </c>
      <c r="I8" s="34">
        <v>44819</v>
      </c>
      <c r="J8" s="34">
        <v>44865</v>
      </c>
    </row>
    <row r="9" spans="1:10">
      <c r="A9" s="13" t="s">
        <v>111</v>
      </c>
      <c r="B9" s="13" t="s">
        <v>390</v>
      </c>
      <c r="D9" s="11" t="s">
        <v>17</v>
      </c>
      <c r="E9" s="26">
        <v>2872062931</v>
      </c>
      <c r="F9" s="26"/>
      <c r="G9" s="35">
        <v>500</v>
      </c>
      <c r="H9" s="35">
        <f t="shared" si="0"/>
        <v>75000</v>
      </c>
      <c r="I9" s="34">
        <v>44819</v>
      </c>
      <c r="J9" s="34">
        <v>44865</v>
      </c>
    </row>
    <row r="10" spans="1:10">
      <c r="A10" s="13" t="s">
        <v>111</v>
      </c>
      <c r="B10" s="13" t="s">
        <v>390</v>
      </c>
      <c r="D10" s="11" t="s">
        <v>19</v>
      </c>
      <c r="E10" s="26" t="s">
        <v>20</v>
      </c>
      <c r="F10" s="26"/>
      <c r="G10" s="35">
        <v>200</v>
      </c>
      <c r="H10" s="35">
        <f t="shared" si="0"/>
        <v>30000</v>
      </c>
      <c r="I10" s="34">
        <v>44819</v>
      </c>
      <c r="J10" s="34">
        <v>44865</v>
      </c>
    </row>
    <row r="11" spans="1:10">
      <c r="A11" s="13" t="s">
        <v>111</v>
      </c>
      <c r="B11" s="13" t="s">
        <v>390</v>
      </c>
      <c r="D11" s="11" t="s">
        <v>22</v>
      </c>
      <c r="E11" s="26" t="s">
        <v>21</v>
      </c>
      <c r="F11" s="26"/>
      <c r="G11" s="35">
        <v>300</v>
      </c>
      <c r="H11" s="35">
        <f t="shared" si="0"/>
        <v>45000</v>
      </c>
      <c r="I11" s="34">
        <v>44819</v>
      </c>
      <c r="J11" s="34">
        <v>44865</v>
      </c>
    </row>
    <row r="12" spans="1:10">
      <c r="A12" s="13" t="s">
        <v>111</v>
      </c>
      <c r="B12" s="13" t="s">
        <v>390</v>
      </c>
      <c r="D12" s="11" t="s">
        <v>18</v>
      </c>
      <c r="E12" s="26"/>
      <c r="F12" s="26"/>
      <c r="G12" s="35">
        <v>200</v>
      </c>
      <c r="H12" s="35">
        <f t="shared" si="0"/>
        <v>30000</v>
      </c>
      <c r="I12" s="34">
        <v>44819</v>
      </c>
      <c r="J12" s="34">
        <v>44865</v>
      </c>
    </row>
    <row r="13" spans="1:10">
      <c r="A13" s="13" t="s">
        <v>111</v>
      </c>
      <c r="B13" s="13" t="s">
        <v>390</v>
      </c>
      <c r="D13" s="11" t="s">
        <v>24</v>
      </c>
      <c r="E13" s="26" t="s">
        <v>23</v>
      </c>
      <c r="F13" s="26"/>
      <c r="G13" s="35">
        <v>550</v>
      </c>
      <c r="H13" s="35">
        <f t="shared" si="0"/>
        <v>82500</v>
      </c>
      <c r="I13" s="34">
        <v>44819</v>
      </c>
      <c r="J13" s="34">
        <v>44865</v>
      </c>
    </row>
    <row r="14" spans="1:10">
      <c r="A14" s="13" t="s">
        <v>111</v>
      </c>
      <c r="B14" s="13" t="s">
        <v>390</v>
      </c>
      <c r="D14" s="11" t="s">
        <v>24</v>
      </c>
      <c r="E14" s="26" t="s">
        <v>25</v>
      </c>
      <c r="F14" s="26"/>
      <c r="G14" s="35">
        <v>550</v>
      </c>
      <c r="H14" s="35">
        <f t="shared" si="0"/>
        <v>82500</v>
      </c>
      <c r="I14" s="34">
        <v>44819</v>
      </c>
      <c r="J14" s="34">
        <v>44865</v>
      </c>
    </row>
    <row r="15" spans="1:10">
      <c r="A15" s="13" t="s">
        <v>111</v>
      </c>
      <c r="B15" s="13" t="s">
        <v>390</v>
      </c>
      <c r="D15" s="11" t="s">
        <v>24</v>
      </c>
      <c r="E15" s="26" t="s">
        <v>26</v>
      </c>
      <c r="F15" s="26"/>
      <c r="G15" s="35">
        <v>550</v>
      </c>
      <c r="H15" s="35">
        <f t="shared" si="0"/>
        <v>82500</v>
      </c>
      <c r="I15" s="34">
        <v>44819</v>
      </c>
      <c r="J15" s="34">
        <v>44865</v>
      </c>
    </row>
    <row r="16" spans="1:10">
      <c r="A16" s="13" t="s">
        <v>111</v>
      </c>
      <c r="B16" s="13" t="s">
        <v>390</v>
      </c>
      <c r="D16" s="11" t="s">
        <v>28</v>
      </c>
      <c r="E16" s="26">
        <v>3027001296</v>
      </c>
      <c r="F16" s="26" t="s">
        <v>27</v>
      </c>
      <c r="G16" s="35">
        <v>3000</v>
      </c>
      <c r="H16" s="35">
        <f t="shared" si="0"/>
        <v>450000</v>
      </c>
      <c r="I16" s="34">
        <v>44819</v>
      </c>
      <c r="J16" s="34">
        <v>44865</v>
      </c>
    </row>
    <row r="17" spans="1:10">
      <c r="A17" s="13" t="s">
        <v>111</v>
      </c>
      <c r="B17" s="13" t="s">
        <v>390</v>
      </c>
      <c r="D17" s="11" t="s">
        <v>28</v>
      </c>
      <c r="E17" s="26">
        <v>3027001297</v>
      </c>
      <c r="F17" s="26"/>
      <c r="G17" s="35">
        <v>3000</v>
      </c>
      <c r="H17" s="35">
        <f t="shared" si="0"/>
        <v>450000</v>
      </c>
      <c r="I17" s="34">
        <v>44819</v>
      </c>
      <c r="J17" s="34">
        <v>44865</v>
      </c>
    </row>
    <row r="18" spans="1:10">
      <c r="A18" s="13" t="s">
        <v>111</v>
      </c>
      <c r="B18" s="13" t="s">
        <v>390</v>
      </c>
      <c r="D18" s="11" t="s">
        <v>32</v>
      </c>
      <c r="E18" s="26"/>
      <c r="F18" s="26"/>
      <c r="G18" s="35">
        <v>350</v>
      </c>
      <c r="H18" s="35">
        <f t="shared" si="0"/>
        <v>52500</v>
      </c>
      <c r="I18" s="34">
        <v>44819</v>
      </c>
      <c r="J18" s="34">
        <v>44865</v>
      </c>
    </row>
    <row r="19" spans="1:10">
      <c r="A19" s="13" t="s">
        <v>111</v>
      </c>
      <c r="B19" s="13" t="s">
        <v>390</v>
      </c>
      <c r="D19" s="11" t="s">
        <v>29</v>
      </c>
      <c r="E19" s="26"/>
      <c r="F19" s="26"/>
      <c r="G19" s="35">
        <v>500</v>
      </c>
      <c r="H19" s="35">
        <f t="shared" si="0"/>
        <v>75000</v>
      </c>
      <c r="I19" s="34">
        <v>44819</v>
      </c>
      <c r="J19" s="34">
        <v>44865</v>
      </c>
    </row>
    <row r="20" spans="1:10">
      <c r="A20" s="13" t="s">
        <v>111</v>
      </c>
      <c r="B20" s="13" t="s">
        <v>390</v>
      </c>
      <c r="D20" s="30" t="s">
        <v>31</v>
      </c>
      <c r="E20" s="26"/>
      <c r="F20" s="26"/>
      <c r="G20" s="35">
        <v>2000</v>
      </c>
      <c r="H20" s="35">
        <f t="shared" si="0"/>
        <v>300000</v>
      </c>
      <c r="I20" s="34">
        <v>44819</v>
      </c>
      <c r="J20" s="34">
        <v>44865</v>
      </c>
    </row>
    <row r="21" spans="1:10">
      <c r="A21" s="13" t="s">
        <v>391</v>
      </c>
      <c r="B21" s="13" t="s">
        <v>55</v>
      </c>
      <c r="C21" s="14" t="s">
        <v>86</v>
      </c>
      <c r="D21" s="12" t="s">
        <v>56</v>
      </c>
      <c r="E21" s="12" t="s">
        <v>59</v>
      </c>
      <c r="F21" s="27"/>
      <c r="G21" s="35">
        <v>300</v>
      </c>
      <c r="H21" s="35">
        <f t="shared" si="0"/>
        <v>45000</v>
      </c>
      <c r="I21" s="34">
        <v>44819</v>
      </c>
      <c r="J21" s="34">
        <v>44865</v>
      </c>
    </row>
    <row r="22" spans="1:10">
      <c r="A22" s="13" t="s">
        <v>391</v>
      </c>
      <c r="B22" s="13" t="s">
        <v>55</v>
      </c>
      <c r="C22" s="14" t="s">
        <v>87</v>
      </c>
      <c r="D22" s="12" t="s">
        <v>57</v>
      </c>
      <c r="E22" s="12" t="s">
        <v>60</v>
      </c>
      <c r="F22" s="28"/>
      <c r="G22" s="35">
        <v>700</v>
      </c>
      <c r="H22" s="35">
        <f t="shared" si="0"/>
        <v>105000</v>
      </c>
      <c r="I22" s="34">
        <v>44819</v>
      </c>
      <c r="J22" s="34">
        <v>44865</v>
      </c>
    </row>
    <row r="23" spans="1:10">
      <c r="A23" s="13" t="s">
        <v>391</v>
      </c>
      <c r="B23" s="13" t="s">
        <v>55</v>
      </c>
      <c r="C23" s="14" t="s">
        <v>88</v>
      </c>
      <c r="D23" s="12" t="s">
        <v>33</v>
      </c>
      <c r="E23" s="12" t="s">
        <v>61</v>
      </c>
      <c r="F23" s="28"/>
      <c r="G23" s="35">
        <v>1200</v>
      </c>
      <c r="H23" s="35">
        <f t="shared" si="0"/>
        <v>180000</v>
      </c>
      <c r="I23" s="34">
        <v>44819</v>
      </c>
      <c r="J23" s="34">
        <v>44865</v>
      </c>
    </row>
    <row r="24" spans="1:10">
      <c r="A24" s="13" t="s">
        <v>391</v>
      </c>
      <c r="B24" s="13" t="s">
        <v>55</v>
      </c>
      <c r="C24" s="14" t="s">
        <v>89</v>
      </c>
      <c r="D24" s="14" t="s">
        <v>34</v>
      </c>
      <c r="E24" s="14" t="s">
        <v>62</v>
      </c>
      <c r="F24" s="28"/>
      <c r="G24" s="35">
        <v>1200</v>
      </c>
      <c r="H24" s="35">
        <f t="shared" si="0"/>
        <v>180000</v>
      </c>
      <c r="I24" s="34">
        <v>44819</v>
      </c>
      <c r="J24" s="34">
        <v>44865</v>
      </c>
    </row>
    <row r="25" spans="1:10">
      <c r="A25" s="13" t="s">
        <v>391</v>
      </c>
      <c r="B25" s="13" t="s">
        <v>55</v>
      </c>
      <c r="C25" s="14" t="s">
        <v>90</v>
      </c>
      <c r="D25" s="12" t="s">
        <v>35</v>
      </c>
      <c r="E25" s="12" t="s">
        <v>63</v>
      </c>
      <c r="F25" s="28"/>
      <c r="G25" s="35">
        <v>1200</v>
      </c>
      <c r="H25" s="35">
        <f t="shared" si="0"/>
        <v>180000</v>
      </c>
      <c r="I25" s="34">
        <v>44819</v>
      </c>
      <c r="J25" s="34">
        <v>44865</v>
      </c>
    </row>
    <row r="26" spans="1:10">
      <c r="A26" s="13" t="s">
        <v>391</v>
      </c>
      <c r="B26" s="13" t="s">
        <v>55</v>
      </c>
      <c r="C26" s="14" t="s">
        <v>91</v>
      </c>
      <c r="D26" s="14" t="s">
        <v>36</v>
      </c>
      <c r="E26" s="14" t="s">
        <v>64</v>
      </c>
      <c r="F26" s="28"/>
      <c r="G26" s="35">
        <v>1500</v>
      </c>
      <c r="H26" s="35">
        <f t="shared" si="0"/>
        <v>225000</v>
      </c>
      <c r="I26" s="34">
        <v>44819</v>
      </c>
      <c r="J26" s="34">
        <v>44865</v>
      </c>
    </row>
    <row r="27" spans="1:10">
      <c r="A27" s="13" t="s">
        <v>391</v>
      </c>
      <c r="B27" s="13" t="s">
        <v>55</v>
      </c>
      <c r="C27" s="14" t="s">
        <v>92</v>
      </c>
      <c r="D27" s="12" t="s">
        <v>58</v>
      </c>
      <c r="E27" s="12" t="s">
        <v>65</v>
      </c>
      <c r="F27" s="28"/>
      <c r="G27" s="35">
        <v>867</v>
      </c>
      <c r="H27" s="35">
        <f t="shared" si="0"/>
        <v>130050</v>
      </c>
      <c r="I27" s="34">
        <v>44819</v>
      </c>
      <c r="J27" s="34">
        <v>44865</v>
      </c>
    </row>
    <row r="28" spans="1:10">
      <c r="A28" s="13" t="s">
        <v>391</v>
      </c>
      <c r="B28" s="13" t="s">
        <v>55</v>
      </c>
      <c r="C28" s="14" t="s">
        <v>93</v>
      </c>
      <c r="D28" s="14" t="s">
        <v>37</v>
      </c>
      <c r="E28" s="14" t="s">
        <v>66</v>
      </c>
      <c r="F28" s="28"/>
      <c r="G28" s="35">
        <v>1200</v>
      </c>
      <c r="H28" s="35">
        <f t="shared" si="0"/>
        <v>180000</v>
      </c>
      <c r="I28" s="34">
        <v>44819</v>
      </c>
      <c r="J28" s="34">
        <v>44865</v>
      </c>
    </row>
    <row r="29" spans="1:10">
      <c r="A29" s="13" t="s">
        <v>391</v>
      </c>
      <c r="B29" s="13" t="s">
        <v>55</v>
      </c>
      <c r="C29" s="14" t="s">
        <v>94</v>
      </c>
      <c r="D29" s="14" t="s">
        <v>37</v>
      </c>
      <c r="E29" s="14" t="s">
        <v>67</v>
      </c>
      <c r="F29" s="28"/>
      <c r="G29" s="35">
        <v>1200</v>
      </c>
      <c r="H29" s="35">
        <f t="shared" si="0"/>
        <v>180000</v>
      </c>
      <c r="I29" s="34">
        <v>44819</v>
      </c>
      <c r="J29" s="34">
        <v>44865</v>
      </c>
    </row>
    <row r="30" spans="1:10">
      <c r="A30" s="13" t="s">
        <v>391</v>
      </c>
      <c r="B30" s="13" t="s">
        <v>55</v>
      </c>
      <c r="C30" s="14" t="s">
        <v>95</v>
      </c>
      <c r="D30" s="14" t="s">
        <v>38</v>
      </c>
      <c r="E30" s="14" t="s">
        <v>68</v>
      </c>
      <c r="F30" s="28"/>
      <c r="G30" s="35">
        <v>1300</v>
      </c>
      <c r="H30" s="35">
        <f t="shared" si="0"/>
        <v>195000</v>
      </c>
      <c r="I30" s="34">
        <v>44819</v>
      </c>
      <c r="J30" s="34">
        <v>44865</v>
      </c>
    </row>
    <row r="31" spans="1:10">
      <c r="A31" s="13" t="s">
        <v>391</v>
      </c>
      <c r="B31" s="13" t="s">
        <v>55</v>
      </c>
      <c r="C31" s="14" t="s">
        <v>96</v>
      </c>
      <c r="D31" s="15" t="s">
        <v>39</v>
      </c>
      <c r="E31" s="14" t="s">
        <v>69</v>
      </c>
      <c r="F31" s="28"/>
      <c r="G31" s="35">
        <v>900</v>
      </c>
      <c r="H31" s="35">
        <f t="shared" si="0"/>
        <v>135000</v>
      </c>
      <c r="I31" s="34">
        <v>44819</v>
      </c>
      <c r="J31" s="34">
        <v>44865</v>
      </c>
    </row>
    <row r="32" spans="1:10">
      <c r="A32" s="13" t="s">
        <v>391</v>
      </c>
      <c r="B32" s="13" t="s">
        <v>55</v>
      </c>
      <c r="C32" s="14" t="s">
        <v>96</v>
      </c>
      <c r="D32" s="15" t="s">
        <v>40</v>
      </c>
      <c r="E32" s="15" t="s">
        <v>70</v>
      </c>
      <c r="F32" s="28"/>
      <c r="G32" s="35">
        <v>129</v>
      </c>
      <c r="H32" s="35">
        <f t="shared" si="0"/>
        <v>19350</v>
      </c>
      <c r="I32" s="34">
        <v>44819</v>
      </c>
      <c r="J32" s="34">
        <v>44865</v>
      </c>
    </row>
    <row r="33" spans="1:10">
      <c r="A33" s="13" t="s">
        <v>391</v>
      </c>
      <c r="B33" s="13" t="s">
        <v>55</v>
      </c>
      <c r="C33" s="14" t="s">
        <v>96</v>
      </c>
      <c r="D33" s="15" t="s">
        <v>41</v>
      </c>
      <c r="E33" s="15" t="s">
        <v>71</v>
      </c>
      <c r="F33" s="28"/>
      <c r="G33" s="35">
        <v>179</v>
      </c>
      <c r="H33" s="35">
        <f t="shared" si="0"/>
        <v>26850</v>
      </c>
      <c r="I33" s="34">
        <v>44819</v>
      </c>
      <c r="J33" s="34">
        <v>44865</v>
      </c>
    </row>
    <row r="34" spans="1:10">
      <c r="A34" s="13" t="s">
        <v>391</v>
      </c>
      <c r="B34" s="13" t="s">
        <v>55</v>
      </c>
      <c r="C34" s="14" t="s">
        <v>97</v>
      </c>
      <c r="D34" s="15" t="s">
        <v>42</v>
      </c>
      <c r="E34" s="15" t="s">
        <v>72</v>
      </c>
      <c r="F34" s="28"/>
      <c r="G34" s="35">
        <v>1079</v>
      </c>
      <c r="H34" s="35">
        <f t="shared" si="0"/>
        <v>161850</v>
      </c>
      <c r="I34" s="34">
        <v>44819</v>
      </c>
      <c r="J34" s="34">
        <v>44865</v>
      </c>
    </row>
    <row r="35" spans="1:10">
      <c r="A35" s="13" t="s">
        <v>391</v>
      </c>
      <c r="B35" s="13" t="s">
        <v>55</v>
      </c>
      <c r="C35" s="14" t="s">
        <v>98</v>
      </c>
      <c r="D35" s="16" t="s">
        <v>43</v>
      </c>
      <c r="E35" s="16" t="s">
        <v>73</v>
      </c>
      <c r="F35" s="28"/>
      <c r="G35" s="35">
        <f>255000/150</f>
        <v>1700</v>
      </c>
      <c r="H35" s="35">
        <f t="shared" si="0"/>
        <v>255000</v>
      </c>
      <c r="I35" s="34">
        <v>44819</v>
      </c>
      <c r="J35" s="34">
        <v>44865</v>
      </c>
    </row>
    <row r="36" spans="1:10">
      <c r="A36" s="13" t="s">
        <v>391</v>
      </c>
      <c r="B36" s="13" t="s">
        <v>55</v>
      </c>
      <c r="C36" s="14" t="s">
        <v>99</v>
      </c>
      <c r="D36" s="14" t="s">
        <v>44</v>
      </c>
      <c r="E36" s="14" t="s">
        <v>74</v>
      </c>
      <c r="F36" s="28"/>
      <c r="G36" s="35">
        <v>800</v>
      </c>
      <c r="H36" s="35">
        <f t="shared" si="0"/>
        <v>120000</v>
      </c>
      <c r="I36" s="34">
        <v>44819</v>
      </c>
      <c r="J36" s="34">
        <v>44865</v>
      </c>
    </row>
    <row r="37" spans="1:10">
      <c r="A37" s="13" t="s">
        <v>391</v>
      </c>
      <c r="B37" s="13" t="s">
        <v>55</v>
      </c>
      <c r="C37" s="14" t="s">
        <v>100</v>
      </c>
      <c r="D37" s="15" t="s">
        <v>45</v>
      </c>
      <c r="E37" s="15" t="s">
        <v>75</v>
      </c>
      <c r="F37" s="28"/>
      <c r="G37" s="35">
        <v>800</v>
      </c>
      <c r="H37" s="35">
        <f t="shared" si="0"/>
        <v>120000</v>
      </c>
      <c r="I37" s="34">
        <v>44819</v>
      </c>
      <c r="J37" s="34">
        <v>44865</v>
      </c>
    </row>
    <row r="38" spans="1:10">
      <c r="A38" s="13" t="s">
        <v>391</v>
      </c>
      <c r="B38" s="13" t="s">
        <v>55</v>
      </c>
      <c r="C38" s="14" t="s">
        <v>101</v>
      </c>
      <c r="D38" s="31" t="s">
        <v>46</v>
      </c>
      <c r="E38" s="14" t="s">
        <v>76</v>
      </c>
      <c r="F38" s="28"/>
      <c r="G38" s="35">
        <v>1067</v>
      </c>
      <c r="H38" s="35">
        <f t="shared" si="0"/>
        <v>160050</v>
      </c>
      <c r="I38" s="34">
        <v>44819</v>
      </c>
      <c r="J38" s="34">
        <v>44865</v>
      </c>
    </row>
    <row r="39" spans="1:10">
      <c r="A39" s="13" t="s">
        <v>391</v>
      </c>
      <c r="B39" s="13" t="s">
        <v>55</v>
      </c>
      <c r="C39" s="17" t="s">
        <v>102</v>
      </c>
      <c r="D39" s="15" t="s">
        <v>47</v>
      </c>
      <c r="E39" s="15" t="s">
        <v>77</v>
      </c>
      <c r="F39" s="28"/>
      <c r="G39" s="35">
        <v>900</v>
      </c>
      <c r="H39" s="35">
        <f t="shared" si="0"/>
        <v>135000</v>
      </c>
      <c r="I39" s="34">
        <v>44819</v>
      </c>
      <c r="J39" s="34">
        <v>44865</v>
      </c>
    </row>
    <row r="40" spans="1:10">
      <c r="A40" s="13" t="s">
        <v>391</v>
      </c>
      <c r="B40" s="13" t="s">
        <v>55</v>
      </c>
      <c r="C40" s="14" t="s">
        <v>103</v>
      </c>
      <c r="D40" s="17" t="s">
        <v>48</v>
      </c>
      <c r="E40" s="15" t="s">
        <v>78</v>
      </c>
      <c r="F40" s="28"/>
      <c r="G40" s="35">
        <v>750</v>
      </c>
      <c r="H40" s="35">
        <f t="shared" si="0"/>
        <v>112500</v>
      </c>
      <c r="I40" s="34">
        <v>44819</v>
      </c>
      <c r="J40" s="34">
        <v>44865</v>
      </c>
    </row>
    <row r="41" spans="1:10">
      <c r="A41" s="13" t="s">
        <v>391</v>
      </c>
      <c r="B41" s="13" t="s">
        <v>55</v>
      </c>
      <c r="C41" s="17" t="s">
        <v>104</v>
      </c>
      <c r="D41" s="15" t="s">
        <v>49</v>
      </c>
      <c r="E41" s="15" t="s">
        <v>79</v>
      </c>
      <c r="F41" s="28"/>
      <c r="G41" s="35">
        <v>450</v>
      </c>
      <c r="H41" s="35">
        <f t="shared" si="0"/>
        <v>67500</v>
      </c>
      <c r="I41" s="34">
        <v>44819</v>
      </c>
      <c r="J41" s="34">
        <v>44865</v>
      </c>
    </row>
    <row r="42" spans="1:10">
      <c r="A42" s="13" t="s">
        <v>391</v>
      </c>
      <c r="B42" s="13" t="s">
        <v>55</v>
      </c>
      <c r="C42" s="17" t="s">
        <v>105</v>
      </c>
      <c r="D42" s="17" t="s">
        <v>50</v>
      </c>
      <c r="E42" s="17" t="s">
        <v>80</v>
      </c>
      <c r="F42" s="28"/>
      <c r="G42" s="35">
        <v>2000</v>
      </c>
      <c r="H42" s="35">
        <f t="shared" si="0"/>
        <v>300000</v>
      </c>
      <c r="I42" s="34">
        <v>44819</v>
      </c>
      <c r="J42" s="34">
        <v>44865</v>
      </c>
    </row>
    <row r="43" spans="1:10">
      <c r="A43" s="13" t="s">
        <v>391</v>
      </c>
      <c r="B43" s="13" t="s">
        <v>55</v>
      </c>
      <c r="C43" s="17" t="s">
        <v>106</v>
      </c>
      <c r="D43" s="18" t="s">
        <v>51</v>
      </c>
      <c r="E43" s="18" t="s">
        <v>81</v>
      </c>
      <c r="F43" s="28"/>
      <c r="G43" s="35">
        <f>150000/150</f>
        <v>1000</v>
      </c>
      <c r="H43" s="35">
        <f t="shared" si="0"/>
        <v>150000</v>
      </c>
      <c r="I43" s="34">
        <v>44819</v>
      </c>
      <c r="J43" s="34">
        <v>44865</v>
      </c>
    </row>
    <row r="44" spans="1:10">
      <c r="A44" s="13" t="s">
        <v>391</v>
      </c>
      <c r="B44" s="13" t="s">
        <v>55</v>
      </c>
      <c r="C44" s="17" t="s">
        <v>107</v>
      </c>
      <c r="D44" s="17" t="s">
        <v>52</v>
      </c>
      <c r="E44" s="17" t="s">
        <v>82</v>
      </c>
      <c r="F44" s="28"/>
      <c r="G44" s="35">
        <v>1200</v>
      </c>
      <c r="H44" s="35">
        <f t="shared" si="0"/>
        <v>180000</v>
      </c>
      <c r="I44" s="34">
        <v>44819</v>
      </c>
      <c r="J44" s="34">
        <v>44865</v>
      </c>
    </row>
    <row r="45" spans="1:10">
      <c r="A45" s="13" t="s">
        <v>391</v>
      </c>
      <c r="B45" s="13" t="s">
        <v>55</v>
      </c>
      <c r="C45" s="19" t="s">
        <v>108</v>
      </c>
      <c r="D45" s="32" t="s">
        <v>53</v>
      </c>
      <c r="E45" s="19" t="s">
        <v>83</v>
      </c>
      <c r="F45" s="28"/>
      <c r="G45" s="35">
        <v>100</v>
      </c>
      <c r="H45" s="35">
        <f t="shared" si="0"/>
        <v>15000</v>
      </c>
      <c r="I45" s="34">
        <v>44819</v>
      </c>
      <c r="J45" s="34">
        <v>44865</v>
      </c>
    </row>
    <row r="46" spans="1:10">
      <c r="A46" s="13" t="s">
        <v>391</v>
      </c>
      <c r="B46" s="13" t="s">
        <v>55</v>
      </c>
      <c r="C46" s="12" t="s">
        <v>109</v>
      </c>
      <c r="D46" s="12" t="s">
        <v>54</v>
      </c>
      <c r="E46" s="20" t="s">
        <v>84</v>
      </c>
      <c r="F46" s="26"/>
      <c r="G46" s="35">
        <v>400</v>
      </c>
      <c r="H46" s="35">
        <f t="shared" si="0"/>
        <v>60000</v>
      </c>
      <c r="I46" s="34">
        <v>44819</v>
      </c>
      <c r="J46" s="34">
        <v>44865</v>
      </c>
    </row>
    <row r="47" spans="1:10">
      <c r="A47" s="13" t="s">
        <v>391</v>
      </c>
      <c r="B47" s="13" t="s">
        <v>55</v>
      </c>
      <c r="C47" s="12" t="s">
        <v>110</v>
      </c>
      <c r="D47" s="32" t="s">
        <v>36</v>
      </c>
      <c r="E47" s="20" t="s">
        <v>85</v>
      </c>
      <c r="F47" s="26"/>
      <c r="G47" s="35">
        <v>1100</v>
      </c>
      <c r="H47" s="35">
        <f t="shared" si="0"/>
        <v>165000</v>
      </c>
      <c r="I47" s="34">
        <v>44819</v>
      </c>
      <c r="J47" s="34">
        <v>44865</v>
      </c>
    </row>
    <row r="48" spans="1:10">
      <c r="A48" s="13" t="s">
        <v>392</v>
      </c>
      <c r="B48" s="33" t="s">
        <v>112</v>
      </c>
      <c r="C48" s="33"/>
      <c r="D48" s="41" t="s">
        <v>555</v>
      </c>
      <c r="E48" s="28"/>
      <c r="F48" s="28">
        <v>4910</v>
      </c>
      <c r="G48" s="35">
        <v>70000</v>
      </c>
      <c r="H48" s="35">
        <f t="shared" si="0"/>
        <v>10500000</v>
      </c>
      <c r="I48" s="34">
        <v>44820</v>
      </c>
      <c r="J48" s="34">
        <v>44865</v>
      </c>
    </row>
    <row r="49" spans="1:10">
      <c r="A49" s="13" t="s">
        <v>392</v>
      </c>
      <c r="B49" s="33" t="s">
        <v>112</v>
      </c>
      <c r="C49" s="33"/>
      <c r="D49" s="41" t="s">
        <v>557</v>
      </c>
      <c r="E49" s="28"/>
      <c r="F49" s="28">
        <v>4910</v>
      </c>
      <c r="G49" s="35">
        <v>40000</v>
      </c>
      <c r="H49" s="35">
        <f t="shared" si="0"/>
        <v>6000000</v>
      </c>
      <c r="I49" s="34">
        <v>44820</v>
      </c>
      <c r="J49" s="34">
        <v>44865</v>
      </c>
    </row>
    <row r="50" spans="1:10">
      <c r="A50" s="13" t="s">
        <v>392</v>
      </c>
      <c r="B50" s="33" t="s">
        <v>112</v>
      </c>
      <c r="C50" s="33"/>
      <c r="D50" s="41" t="s">
        <v>556</v>
      </c>
      <c r="E50" s="28"/>
      <c r="F50" s="28">
        <v>4910</v>
      </c>
      <c r="G50" s="35">
        <v>3000</v>
      </c>
      <c r="H50" s="35">
        <f t="shared" si="0"/>
        <v>450000</v>
      </c>
      <c r="I50" s="34">
        <v>44820</v>
      </c>
      <c r="J50" s="34">
        <v>44865</v>
      </c>
    </row>
    <row r="51" spans="1:10">
      <c r="A51" s="13" t="s">
        <v>392</v>
      </c>
      <c r="B51" s="33" t="s">
        <v>112</v>
      </c>
      <c r="C51" s="33"/>
      <c r="D51" s="41" t="s">
        <v>558</v>
      </c>
      <c r="E51" s="28"/>
      <c r="F51" s="28">
        <v>4910</v>
      </c>
      <c r="G51" s="35">
        <v>3000</v>
      </c>
      <c r="H51" s="35">
        <f t="shared" si="0"/>
        <v>450000</v>
      </c>
      <c r="I51" s="34">
        <v>44820</v>
      </c>
      <c r="J51" s="34">
        <v>44865</v>
      </c>
    </row>
    <row r="52" spans="1:10">
      <c r="A52" s="13" t="s">
        <v>392</v>
      </c>
      <c r="B52" s="33" t="s">
        <v>112</v>
      </c>
      <c r="C52" s="33"/>
      <c r="D52" s="41" t="s">
        <v>559</v>
      </c>
      <c r="E52" s="28"/>
      <c r="F52" s="28">
        <v>4910</v>
      </c>
      <c r="G52" s="35">
        <v>3000</v>
      </c>
      <c r="H52" s="35">
        <f t="shared" si="0"/>
        <v>450000</v>
      </c>
      <c r="I52" s="34">
        <v>44820</v>
      </c>
      <c r="J52" s="34">
        <v>44865</v>
      </c>
    </row>
    <row r="53" spans="1:10">
      <c r="A53" s="13" t="s">
        <v>392</v>
      </c>
      <c r="B53" s="33" t="s">
        <v>112</v>
      </c>
      <c r="C53" s="33"/>
      <c r="D53" s="41" t="s">
        <v>560</v>
      </c>
      <c r="E53" s="28"/>
      <c r="F53" s="28">
        <v>4910</v>
      </c>
      <c r="G53" s="35">
        <v>3000</v>
      </c>
      <c r="H53" s="35">
        <f t="shared" si="0"/>
        <v>450000</v>
      </c>
      <c r="I53" s="34">
        <v>44820</v>
      </c>
      <c r="J53" s="34">
        <v>44865</v>
      </c>
    </row>
    <row r="54" spans="1:10">
      <c r="A54" s="13" t="s">
        <v>392</v>
      </c>
      <c r="B54" s="33" t="s">
        <v>112</v>
      </c>
      <c r="C54" s="33"/>
      <c r="D54" s="41" t="s">
        <v>553</v>
      </c>
      <c r="E54" s="28"/>
      <c r="F54" s="28">
        <v>4910</v>
      </c>
      <c r="G54" s="35">
        <v>3000</v>
      </c>
      <c r="H54" s="35">
        <f t="shared" si="0"/>
        <v>450000</v>
      </c>
      <c r="I54" s="34">
        <v>44820</v>
      </c>
      <c r="J54" s="34">
        <v>44865</v>
      </c>
    </row>
    <row r="55" spans="1:10">
      <c r="A55" s="13" t="s">
        <v>392</v>
      </c>
      <c r="B55" s="33" t="s">
        <v>112</v>
      </c>
      <c r="C55" s="33"/>
      <c r="D55" s="41" t="s">
        <v>561</v>
      </c>
      <c r="E55" s="28"/>
      <c r="F55" s="28">
        <v>4910</v>
      </c>
      <c r="G55" s="35">
        <v>3000</v>
      </c>
      <c r="H55" s="35">
        <f t="shared" si="0"/>
        <v>450000</v>
      </c>
      <c r="I55" s="34">
        <v>44820</v>
      </c>
      <c r="J55" s="34">
        <v>44865</v>
      </c>
    </row>
    <row r="56" spans="1:10">
      <c r="A56" s="13" t="s">
        <v>392</v>
      </c>
      <c r="B56" s="33" t="s">
        <v>112</v>
      </c>
      <c r="C56" s="33"/>
      <c r="D56" s="41" t="s">
        <v>562</v>
      </c>
      <c r="E56" s="28"/>
      <c r="F56" s="28">
        <v>4910</v>
      </c>
      <c r="G56" s="35">
        <v>3000</v>
      </c>
      <c r="H56" s="35">
        <f t="shared" si="0"/>
        <v>450000</v>
      </c>
      <c r="I56" s="34">
        <v>44820</v>
      </c>
      <c r="J56" s="34">
        <v>44865</v>
      </c>
    </row>
    <row r="57" spans="1:10">
      <c r="A57" s="13" t="s">
        <v>392</v>
      </c>
      <c r="B57" s="33" t="s">
        <v>112</v>
      </c>
      <c r="C57" s="33"/>
      <c r="D57" s="41" t="s">
        <v>564</v>
      </c>
      <c r="E57" s="28"/>
      <c r="F57" s="28">
        <v>4910</v>
      </c>
      <c r="G57" s="35">
        <v>20000</v>
      </c>
      <c r="H57" s="35">
        <f t="shared" si="0"/>
        <v>3000000</v>
      </c>
      <c r="I57" s="34">
        <v>44820</v>
      </c>
      <c r="J57" s="34">
        <v>44865</v>
      </c>
    </row>
    <row r="58" spans="1:10">
      <c r="A58" s="13" t="s">
        <v>392</v>
      </c>
      <c r="B58" s="33" t="s">
        <v>112</v>
      </c>
      <c r="C58" s="33"/>
      <c r="D58" s="41" t="s">
        <v>563</v>
      </c>
      <c r="E58" s="28"/>
      <c r="F58" s="28">
        <v>4910</v>
      </c>
      <c r="G58" s="35">
        <v>10000</v>
      </c>
      <c r="H58" s="35">
        <f t="shared" si="0"/>
        <v>1500000</v>
      </c>
      <c r="I58" s="34">
        <v>44820</v>
      </c>
      <c r="J58" s="34">
        <v>44865</v>
      </c>
    </row>
    <row r="59" spans="1:10">
      <c r="A59" s="13" t="s">
        <v>392</v>
      </c>
      <c r="B59" s="33" t="s">
        <v>112</v>
      </c>
      <c r="C59" s="33"/>
      <c r="D59" s="41" t="s">
        <v>565</v>
      </c>
      <c r="E59" s="28"/>
      <c r="F59" s="28">
        <v>4910</v>
      </c>
      <c r="G59" s="35">
        <v>34000</v>
      </c>
      <c r="H59" s="35">
        <f t="shared" si="0"/>
        <v>5100000</v>
      </c>
      <c r="I59" s="34">
        <v>44820</v>
      </c>
      <c r="J59" s="34">
        <v>44865</v>
      </c>
    </row>
    <row r="60" spans="1:10">
      <c r="A60" s="13" t="s">
        <v>392</v>
      </c>
      <c r="B60" s="33" t="s">
        <v>112</v>
      </c>
      <c r="C60" s="33"/>
      <c r="D60" s="41" t="s">
        <v>566</v>
      </c>
      <c r="E60" s="28"/>
      <c r="F60" s="28">
        <v>4910</v>
      </c>
      <c r="G60" s="35">
        <v>2000</v>
      </c>
      <c r="H60" s="35">
        <f t="shared" si="0"/>
        <v>300000</v>
      </c>
      <c r="I60" s="34">
        <v>44820</v>
      </c>
      <c r="J60" s="34">
        <v>44865</v>
      </c>
    </row>
    <row r="61" spans="1:10">
      <c r="A61" s="13" t="s">
        <v>392</v>
      </c>
      <c r="B61" s="33" t="s">
        <v>112</v>
      </c>
      <c r="C61" s="33"/>
      <c r="D61" s="13" t="s">
        <v>567</v>
      </c>
      <c r="E61" s="28"/>
      <c r="F61" s="28">
        <v>4910</v>
      </c>
      <c r="G61" s="35">
        <v>1000</v>
      </c>
      <c r="H61" s="35">
        <f t="shared" si="0"/>
        <v>150000</v>
      </c>
      <c r="I61" s="34">
        <v>44820</v>
      </c>
      <c r="J61" s="34">
        <v>44865</v>
      </c>
    </row>
    <row r="62" spans="1:10">
      <c r="A62" s="13" t="s">
        <v>392</v>
      </c>
      <c r="B62" s="33" t="s">
        <v>112</v>
      </c>
      <c r="C62" s="33"/>
      <c r="D62" s="13" t="s">
        <v>568</v>
      </c>
      <c r="E62" s="28"/>
      <c r="F62" s="28">
        <v>4910</v>
      </c>
      <c r="G62" s="35">
        <v>2000</v>
      </c>
      <c r="H62" s="35">
        <f t="shared" si="0"/>
        <v>300000</v>
      </c>
      <c r="I62" s="34">
        <v>44820</v>
      </c>
      <c r="J62" s="34">
        <v>44865</v>
      </c>
    </row>
    <row r="63" spans="1:10">
      <c r="A63" s="13" t="s">
        <v>392</v>
      </c>
      <c r="B63" s="33" t="s">
        <v>112</v>
      </c>
      <c r="C63" s="33"/>
      <c r="D63" s="13" t="s">
        <v>618</v>
      </c>
      <c r="E63" s="28"/>
      <c r="F63" s="28">
        <v>4922</v>
      </c>
      <c r="G63" s="35">
        <v>450</v>
      </c>
      <c r="H63" s="35">
        <f t="shared" si="0"/>
        <v>67500</v>
      </c>
      <c r="I63" s="34">
        <v>44825</v>
      </c>
      <c r="J63" s="34">
        <v>44865</v>
      </c>
    </row>
    <row r="64" spans="1:10">
      <c r="A64" s="13" t="s">
        <v>392</v>
      </c>
      <c r="B64" s="33" t="s">
        <v>112</v>
      </c>
      <c r="C64" s="33"/>
      <c r="D64" s="13" t="s">
        <v>619</v>
      </c>
      <c r="E64" s="28"/>
      <c r="F64" s="28">
        <v>4922</v>
      </c>
      <c r="G64" s="35">
        <v>50</v>
      </c>
      <c r="H64" s="35">
        <f t="shared" ref="H64" si="1">G64*150</f>
        <v>7500</v>
      </c>
      <c r="I64" s="34">
        <v>44825</v>
      </c>
      <c r="J64" s="34">
        <v>44865</v>
      </c>
    </row>
    <row r="65" spans="1:10">
      <c r="A65" s="13" t="s">
        <v>392</v>
      </c>
      <c r="B65" s="33" t="s">
        <v>112</v>
      </c>
      <c r="C65" s="33"/>
      <c r="D65" s="13" t="s">
        <v>629</v>
      </c>
      <c r="E65" s="28"/>
      <c r="F65" s="28">
        <v>4952</v>
      </c>
      <c r="G65" s="35">
        <v>10000</v>
      </c>
      <c r="H65" s="35">
        <f>G65*153</f>
        <v>1530000</v>
      </c>
      <c r="I65" s="34">
        <v>44835</v>
      </c>
      <c r="J65" s="34">
        <v>44839</v>
      </c>
    </row>
    <row r="66" spans="1:10">
      <c r="A66" s="13" t="s">
        <v>392</v>
      </c>
      <c r="B66" s="33" t="s">
        <v>605</v>
      </c>
      <c r="C66" s="33"/>
      <c r="D66" s="41" t="s">
        <v>569</v>
      </c>
      <c r="E66" s="28"/>
      <c r="F66" s="28">
        <v>4910</v>
      </c>
      <c r="G66" s="35">
        <v>29000</v>
      </c>
      <c r="H66" s="35">
        <f t="shared" si="0"/>
        <v>4350000</v>
      </c>
      <c r="I66" s="34">
        <v>44819</v>
      </c>
      <c r="J66" s="34">
        <v>44865</v>
      </c>
    </row>
    <row r="67" spans="1:10">
      <c r="A67" s="13" t="s">
        <v>392</v>
      </c>
      <c r="B67" s="33" t="s">
        <v>605</v>
      </c>
      <c r="C67" s="33"/>
      <c r="D67" s="41" t="s">
        <v>570</v>
      </c>
      <c r="E67" s="28"/>
      <c r="F67" s="28">
        <v>4910</v>
      </c>
      <c r="G67" s="35">
        <v>28500</v>
      </c>
      <c r="H67" s="35">
        <f t="shared" si="0"/>
        <v>4275000</v>
      </c>
      <c r="I67" s="34">
        <v>44820</v>
      </c>
      <c r="J67" s="34">
        <v>44865</v>
      </c>
    </row>
    <row r="68" spans="1:10">
      <c r="A68" s="13" t="s">
        <v>392</v>
      </c>
      <c r="B68" s="33" t="s">
        <v>605</v>
      </c>
      <c r="C68" s="33"/>
      <c r="D68" s="41" t="s">
        <v>571</v>
      </c>
      <c r="E68" s="28"/>
      <c r="F68" s="28">
        <v>4910</v>
      </c>
      <c r="G68" s="35">
        <v>28500</v>
      </c>
      <c r="H68" s="35">
        <f t="shared" si="0"/>
        <v>4275000</v>
      </c>
      <c r="I68" s="34">
        <v>44820</v>
      </c>
      <c r="J68" s="34">
        <v>44865</v>
      </c>
    </row>
    <row r="69" spans="1:10">
      <c r="A69" s="13" t="s">
        <v>392</v>
      </c>
      <c r="B69" s="33" t="s">
        <v>605</v>
      </c>
      <c r="C69" s="33"/>
      <c r="D69" s="41" t="s">
        <v>572</v>
      </c>
      <c r="E69" s="28"/>
      <c r="F69" s="28">
        <v>4910</v>
      </c>
      <c r="G69" s="35">
        <v>28500</v>
      </c>
      <c r="H69" s="35">
        <f t="shared" si="0"/>
        <v>4275000</v>
      </c>
      <c r="I69" s="34">
        <v>44820</v>
      </c>
      <c r="J69" s="34">
        <v>44865</v>
      </c>
    </row>
    <row r="70" spans="1:10">
      <c r="A70" s="13" t="s">
        <v>392</v>
      </c>
      <c r="B70" s="33" t="s">
        <v>605</v>
      </c>
      <c r="C70" s="33"/>
      <c r="D70" s="41" t="s">
        <v>573</v>
      </c>
      <c r="E70" s="28"/>
      <c r="F70" s="28">
        <v>4910</v>
      </c>
      <c r="G70" s="35">
        <v>28500</v>
      </c>
      <c r="H70" s="35">
        <f t="shared" si="0"/>
        <v>4275000</v>
      </c>
      <c r="I70" s="34">
        <v>44820</v>
      </c>
      <c r="J70" s="34">
        <v>44865</v>
      </c>
    </row>
    <row r="71" spans="1:10">
      <c r="A71" s="13" t="s">
        <v>392</v>
      </c>
      <c r="B71" s="33" t="s">
        <v>605</v>
      </c>
      <c r="C71" s="33"/>
      <c r="D71" s="41" t="s">
        <v>574</v>
      </c>
      <c r="E71" s="28"/>
      <c r="F71" s="28">
        <v>4910</v>
      </c>
      <c r="G71" s="35">
        <v>28500</v>
      </c>
      <c r="H71" s="35">
        <f t="shared" si="0"/>
        <v>4275000</v>
      </c>
      <c r="I71" s="34">
        <v>44820</v>
      </c>
      <c r="J71" s="34">
        <v>44865</v>
      </c>
    </row>
    <row r="72" spans="1:10">
      <c r="A72" s="13" t="s">
        <v>392</v>
      </c>
      <c r="B72" s="33" t="s">
        <v>605</v>
      </c>
      <c r="C72" s="33"/>
      <c r="D72" s="41" t="s">
        <v>575</v>
      </c>
      <c r="E72" s="28"/>
      <c r="F72" s="28">
        <v>4910</v>
      </c>
      <c r="G72" s="35">
        <v>28500</v>
      </c>
      <c r="H72" s="35">
        <f t="shared" si="0"/>
        <v>4275000</v>
      </c>
      <c r="I72" s="34">
        <v>44820</v>
      </c>
      <c r="J72" s="34">
        <v>44865</v>
      </c>
    </row>
    <row r="73" spans="1:10">
      <c r="A73" s="13" t="s">
        <v>392</v>
      </c>
      <c r="B73" s="33" t="s">
        <v>605</v>
      </c>
      <c r="C73" s="33"/>
      <c r="D73" s="41" t="s">
        <v>613</v>
      </c>
      <c r="E73" s="28"/>
      <c r="F73" s="28">
        <v>4915</v>
      </c>
      <c r="G73" s="35">
        <v>25000</v>
      </c>
      <c r="H73" s="35">
        <f t="shared" si="0"/>
        <v>3750000</v>
      </c>
      <c r="I73" s="34">
        <v>44823</v>
      </c>
      <c r="J73" s="34">
        <v>44865</v>
      </c>
    </row>
    <row r="74" spans="1:10">
      <c r="A74" s="13" t="s">
        <v>392</v>
      </c>
      <c r="B74" s="33" t="s">
        <v>605</v>
      </c>
      <c r="C74" s="33"/>
      <c r="D74" s="41" t="s">
        <v>630</v>
      </c>
      <c r="E74" s="28"/>
      <c r="F74" s="28">
        <v>4952</v>
      </c>
      <c r="G74" s="35">
        <v>34000</v>
      </c>
      <c r="H74" s="35">
        <f>G74*153</f>
        <v>5202000</v>
      </c>
      <c r="I74" s="34">
        <v>44837</v>
      </c>
      <c r="J74" s="34">
        <v>44865</v>
      </c>
    </row>
    <row r="75" spans="1:10">
      <c r="A75" s="13" t="s">
        <v>392</v>
      </c>
      <c r="B75" s="33" t="s">
        <v>605</v>
      </c>
      <c r="C75" s="33"/>
      <c r="D75" s="41" t="s">
        <v>631</v>
      </c>
      <c r="E75" s="28"/>
      <c r="F75" s="28">
        <v>4952</v>
      </c>
      <c r="G75" s="35">
        <v>1000</v>
      </c>
      <c r="H75" s="35">
        <f>G75*153</f>
        <v>153000</v>
      </c>
      <c r="I75" s="34">
        <v>44837</v>
      </c>
      <c r="J75" s="34">
        <v>44865</v>
      </c>
    </row>
    <row r="76" spans="1:10">
      <c r="A76" s="13" t="s">
        <v>392</v>
      </c>
      <c r="B76" s="33" t="s">
        <v>113</v>
      </c>
      <c r="C76" s="33"/>
      <c r="D76" s="41" t="s">
        <v>577</v>
      </c>
      <c r="E76" s="28"/>
      <c r="F76" s="28">
        <v>4910</v>
      </c>
      <c r="G76" s="35">
        <v>15000</v>
      </c>
      <c r="H76" s="35">
        <f t="shared" si="0"/>
        <v>2250000</v>
      </c>
      <c r="I76" s="34">
        <v>44819</v>
      </c>
      <c r="J76" s="34">
        <v>44865</v>
      </c>
    </row>
    <row r="77" spans="1:10">
      <c r="A77" s="13" t="s">
        <v>392</v>
      </c>
      <c r="B77" s="33" t="s">
        <v>113</v>
      </c>
      <c r="C77" s="33"/>
      <c r="D77" s="41" t="s">
        <v>576</v>
      </c>
      <c r="E77" s="28"/>
      <c r="F77" s="28">
        <v>4910</v>
      </c>
      <c r="G77" s="35">
        <v>10000</v>
      </c>
      <c r="H77" s="35">
        <f t="shared" si="0"/>
        <v>1500000</v>
      </c>
      <c r="I77" s="34">
        <v>44820</v>
      </c>
      <c r="J77" s="34">
        <v>44865</v>
      </c>
    </row>
    <row r="78" spans="1:10">
      <c r="A78" s="13" t="s">
        <v>392</v>
      </c>
      <c r="B78" s="33" t="s">
        <v>113</v>
      </c>
      <c r="C78" s="33"/>
      <c r="D78" s="41" t="s">
        <v>578</v>
      </c>
      <c r="E78" s="28"/>
      <c r="F78" s="28">
        <v>4910</v>
      </c>
      <c r="G78" s="35">
        <v>1000</v>
      </c>
      <c r="H78" s="35">
        <f t="shared" si="0"/>
        <v>150000</v>
      </c>
      <c r="I78" s="34">
        <v>44820</v>
      </c>
      <c r="J78" s="34">
        <v>44865</v>
      </c>
    </row>
    <row r="79" spans="1:10">
      <c r="A79" s="13" t="s">
        <v>392</v>
      </c>
      <c r="B79" s="33" t="s">
        <v>113</v>
      </c>
      <c r="C79" s="33"/>
      <c r="D79" s="41" t="s">
        <v>579</v>
      </c>
      <c r="E79" s="28"/>
      <c r="F79" s="28">
        <v>4910</v>
      </c>
      <c r="G79" s="35">
        <v>500</v>
      </c>
      <c r="H79" s="35">
        <f t="shared" si="0"/>
        <v>75000</v>
      </c>
      <c r="I79" s="34">
        <v>44820</v>
      </c>
      <c r="J79" s="34">
        <v>44865</v>
      </c>
    </row>
    <row r="80" spans="1:10">
      <c r="A80" s="13" t="s">
        <v>392</v>
      </c>
      <c r="B80" s="33" t="s">
        <v>113</v>
      </c>
      <c r="C80" s="33"/>
      <c r="D80" s="41" t="s">
        <v>580</v>
      </c>
      <c r="E80" s="28"/>
      <c r="F80" s="28">
        <v>4910</v>
      </c>
      <c r="G80" s="35">
        <v>5000</v>
      </c>
      <c r="H80" s="35">
        <f t="shared" si="0"/>
        <v>750000</v>
      </c>
      <c r="I80" s="34">
        <v>44820</v>
      </c>
      <c r="J80" s="34">
        <v>44865</v>
      </c>
    </row>
    <row r="81" spans="1:10">
      <c r="A81" s="13" t="s">
        <v>392</v>
      </c>
      <c r="B81" s="33" t="s">
        <v>113</v>
      </c>
      <c r="C81" s="33"/>
      <c r="D81" s="41" t="s">
        <v>581</v>
      </c>
      <c r="E81" s="28"/>
      <c r="F81" s="28">
        <v>4910</v>
      </c>
      <c r="G81" s="35">
        <v>5000</v>
      </c>
      <c r="H81" s="35">
        <f t="shared" si="0"/>
        <v>750000</v>
      </c>
      <c r="I81" s="34">
        <v>44820</v>
      </c>
      <c r="J81" s="34">
        <v>44865</v>
      </c>
    </row>
    <row r="82" spans="1:10">
      <c r="A82" s="13" t="s">
        <v>392</v>
      </c>
      <c r="B82" s="33" t="s">
        <v>113</v>
      </c>
      <c r="C82" s="33"/>
      <c r="D82" s="41" t="s">
        <v>582</v>
      </c>
      <c r="E82" s="28"/>
      <c r="F82" s="28">
        <v>4910</v>
      </c>
      <c r="G82" s="35">
        <v>5000</v>
      </c>
      <c r="H82" s="35">
        <f t="shared" si="0"/>
        <v>750000</v>
      </c>
      <c r="I82" s="34">
        <v>44820</v>
      </c>
      <c r="J82" s="34">
        <v>44865</v>
      </c>
    </row>
    <row r="83" spans="1:10">
      <c r="A83" s="13" t="s">
        <v>392</v>
      </c>
      <c r="B83" s="33" t="s">
        <v>113</v>
      </c>
      <c r="C83" s="33"/>
      <c r="D83" s="41" t="s">
        <v>583</v>
      </c>
      <c r="E83" s="28"/>
      <c r="F83" s="28">
        <v>4910</v>
      </c>
      <c r="G83" s="35">
        <v>5000</v>
      </c>
      <c r="H83" s="35">
        <f t="shared" si="0"/>
        <v>750000</v>
      </c>
      <c r="I83" s="34">
        <v>44820</v>
      </c>
      <c r="J83" s="34">
        <v>44865</v>
      </c>
    </row>
    <row r="84" spans="1:10">
      <c r="A84" s="13" t="s">
        <v>392</v>
      </c>
      <c r="B84" s="33" t="s">
        <v>113</v>
      </c>
      <c r="C84" s="33"/>
      <c r="D84" s="41" t="s">
        <v>584</v>
      </c>
      <c r="E84" s="28"/>
      <c r="F84" s="28">
        <v>4910</v>
      </c>
      <c r="G84" s="35">
        <v>20000</v>
      </c>
      <c r="H84" s="35">
        <f t="shared" si="0"/>
        <v>3000000</v>
      </c>
      <c r="I84" s="34">
        <v>44820</v>
      </c>
      <c r="J84" s="34">
        <v>44865</v>
      </c>
    </row>
    <row r="85" spans="1:10">
      <c r="A85" s="13" t="s">
        <v>392</v>
      </c>
      <c r="B85" s="33" t="s">
        <v>113</v>
      </c>
      <c r="C85" s="33"/>
      <c r="D85" s="41" t="s">
        <v>585</v>
      </c>
      <c r="E85" s="28"/>
      <c r="F85" s="28">
        <v>4910</v>
      </c>
      <c r="G85" s="35">
        <v>5000</v>
      </c>
      <c r="H85" s="35">
        <f t="shared" si="0"/>
        <v>750000</v>
      </c>
      <c r="I85" s="34">
        <v>44820</v>
      </c>
      <c r="J85" s="34">
        <v>44865</v>
      </c>
    </row>
    <row r="86" spans="1:10">
      <c r="A86" s="13" t="s">
        <v>392</v>
      </c>
      <c r="B86" s="33" t="s">
        <v>113</v>
      </c>
      <c r="C86" s="33"/>
      <c r="D86" s="41" t="s">
        <v>586</v>
      </c>
      <c r="E86" s="28"/>
      <c r="F86" s="28">
        <v>4910</v>
      </c>
      <c r="G86" s="35">
        <v>5000</v>
      </c>
      <c r="H86" s="35">
        <f t="shared" si="0"/>
        <v>750000</v>
      </c>
      <c r="I86" s="34">
        <v>44820</v>
      </c>
      <c r="J86" s="34">
        <v>44865</v>
      </c>
    </row>
    <row r="87" spans="1:10">
      <c r="A87" s="13" t="s">
        <v>392</v>
      </c>
      <c r="B87" s="33" t="s">
        <v>113</v>
      </c>
      <c r="C87" s="33"/>
      <c r="D87" s="41" t="s">
        <v>587</v>
      </c>
      <c r="E87" s="28"/>
      <c r="F87" s="28">
        <v>4910</v>
      </c>
      <c r="G87" s="35">
        <v>5000</v>
      </c>
      <c r="H87" s="35">
        <f t="shared" si="0"/>
        <v>750000</v>
      </c>
      <c r="I87" s="34">
        <v>44820</v>
      </c>
      <c r="J87" s="34">
        <v>44865</v>
      </c>
    </row>
    <row r="88" spans="1:10">
      <c r="A88" s="13" t="s">
        <v>392</v>
      </c>
      <c r="B88" s="33" t="s">
        <v>113</v>
      </c>
      <c r="C88" s="33"/>
      <c r="D88" s="41" t="s">
        <v>589</v>
      </c>
      <c r="E88" s="28"/>
      <c r="F88" s="28">
        <v>4910</v>
      </c>
      <c r="G88" s="35">
        <v>5000</v>
      </c>
      <c r="H88" s="35">
        <f t="shared" si="0"/>
        <v>750000</v>
      </c>
      <c r="I88" s="34">
        <v>44820</v>
      </c>
      <c r="J88" s="34">
        <v>44865</v>
      </c>
    </row>
    <row r="89" spans="1:10">
      <c r="A89" s="13" t="s">
        <v>392</v>
      </c>
      <c r="B89" s="33" t="s">
        <v>113</v>
      </c>
      <c r="C89" s="33"/>
      <c r="D89" s="41" t="s">
        <v>590</v>
      </c>
      <c r="E89" s="28"/>
      <c r="F89" s="28">
        <v>4910</v>
      </c>
      <c r="G89" s="35">
        <v>25000</v>
      </c>
      <c r="H89" s="35">
        <f t="shared" si="0"/>
        <v>3750000</v>
      </c>
      <c r="I89" s="34">
        <v>44820</v>
      </c>
      <c r="J89" s="34">
        <v>44865</v>
      </c>
    </row>
    <row r="90" spans="1:10">
      <c r="A90" s="13" t="s">
        <v>392</v>
      </c>
      <c r="B90" s="33" t="s">
        <v>113</v>
      </c>
      <c r="C90" s="33"/>
      <c r="D90" s="41" t="s">
        <v>591</v>
      </c>
      <c r="E90" s="28"/>
      <c r="F90" s="28">
        <v>4910</v>
      </c>
      <c r="G90" s="35">
        <v>3000</v>
      </c>
      <c r="H90" s="35">
        <f t="shared" si="0"/>
        <v>450000</v>
      </c>
      <c r="I90" s="34">
        <v>44820</v>
      </c>
      <c r="J90" s="34">
        <v>44865</v>
      </c>
    </row>
    <row r="91" spans="1:10">
      <c r="A91" s="13" t="s">
        <v>392</v>
      </c>
      <c r="B91" s="33" t="s">
        <v>113</v>
      </c>
      <c r="C91" s="33"/>
      <c r="D91" s="41" t="s">
        <v>592</v>
      </c>
      <c r="E91" s="28"/>
      <c r="F91" s="28">
        <v>4910</v>
      </c>
      <c r="G91" s="35">
        <v>1000</v>
      </c>
      <c r="H91" s="35">
        <f t="shared" si="0"/>
        <v>150000</v>
      </c>
      <c r="I91" s="34">
        <v>44820</v>
      </c>
      <c r="J91" s="34">
        <v>44865</v>
      </c>
    </row>
    <row r="92" spans="1:10">
      <c r="A92" s="13" t="s">
        <v>392</v>
      </c>
      <c r="B92" s="33" t="s">
        <v>113</v>
      </c>
      <c r="C92" s="33"/>
      <c r="D92" s="41" t="s">
        <v>593</v>
      </c>
      <c r="E92" s="28"/>
      <c r="F92" s="28">
        <v>4910</v>
      </c>
      <c r="G92" s="35">
        <v>500</v>
      </c>
      <c r="H92" s="35">
        <f t="shared" si="0"/>
        <v>75000</v>
      </c>
      <c r="I92" s="34">
        <v>44820</v>
      </c>
      <c r="J92" s="34">
        <v>44865</v>
      </c>
    </row>
    <row r="93" spans="1:10">
      <c r="A93" s="13" t="s">
        <v>392</v>
      </c>
      <c r="B93" s="33" t="s">
        <v>113</v>
      </c>
      <c r="C93" s="33"/>
      <c r="D93" s="41" t="s">
        <v>594</v>
      </c>
      <c r="E93" s="28"/>
      <c r="F93" s="28">
        <v>4910</v>
      </c>
      <c r="G93" s="35">
        <v>500</v>
      </c>
      <c r="H93" s="35">
        <f t="shared" si="0"/>
        <v>75000</v>
      </c>
      <c r="I93" s="34">
        <v>44820</v>
      </c>
      <c r="J93" s="34">
        <v>44865</v>
      </c>
    </row>
    <row r="94" spans="1:10">
      <c r="A94" s="13" t="s">
        <v>392</v>
      </c>
      <c r="B94" s="33" t="s">
        <v>113</v>
      </c>
      <c r="C94" s="33"/>
      <c r="D94" s="13" t="s">
        <v>595</v>
      </c>
      <c r="E94" s="28"/>
      <c r="F94" s="28">
        <v>4910</v>
      </c>
      <c r="G94" s="35">
        <v>500</v>
      </c>
      <c r="H94" s="35">
        <f t="shared" si="0"/>
        <v>75000</v>
      </c>
      <c r="I94" s="34">
        <v>44820</v>
      </c>
      <c r="J94" s="34">
        <v>44865</v>
      </c>
    </row>
    <row r="95" spans="1:10">
      <c r="A95" s="13" t="s">
        <v>392</v>
      </c>
      <c r="B95" s="33" t="s">
        <v>113</v>
      </c>
      <c r="C95" s="33"/>
      <c r="D95" s="41" t="s">
        <v>596</v>
      </c>
      <c r="E95" s="28"/>
      <c r="F95" s="28">
        <v>4910</v>
      </c>
      <c r="G95" s="35">
        <v>15000</v>
      </c>
      <c r="H95" s="35">
        <f t="shared" si="0"/>
        <v>2250000</v>
      </c>
      <c r="I95" s="34">
        <v>44820</v>
      </c>
      <c r="J95" s="34">
        <v>44865</v>
      </c>
    </row>
    <row r="96" spans="1:10">
      <c r="A96" s="13" t="s">
        <v>392</v>
      </c>
      <c r="B96" s="33" t="s">
        <v>113</v>
      </c>
      <c r="C96" s="33"/>
      <c r="D96" s="41" t="s">
        <v>597</v>
      </c>
      <c r="E96" s="28"/>
      <c r="F96" s="28">
        <v>4910</v>
      </c>
      <c r="G96" s="35">
        <v>500</v>
      </c>
      <c r="H96" s="35">
        <f t="shared" si="0"/>
        <v>75000</v>
      </c>
      <c r="I96" s="34">
        <v>44820</v>
      </c>
      <c r="J96" s="34">
        <v>44865</v>
      </c>
    </row>
    <row r="97" spans="1:10">
      <c r="A97" s="13" t="s">
        <v>392</v>
      </c>
      <c r="B97" s="33" t="s">
        <v>113</v>
      </c>
      <c r="C97" s="33"/>
      <c r="D97" s="13" t="s">
        <v>598</v>
      </c>
      <c r="E97" s="28"/>
      <c r="F97" s="28">
        <v>4910</v>
      </c>
      <c r="G97" s="35">
        <v>500</v>
      </c>
      <c r="H97" s="35">
        <f t="shared" si="0"/>
        <v>75000</v>
      </c>
      <c r="I97" s="34">
        <v>44820</v>
      </c>
      <c r="J97" s="34">
        <v>44865</v>
      </c>
    </row>
    <row r="98" spans="1:10">
      <c r="A98" s="13" t="s">
        <v>392</v>
      </c>
      <c r="B98" s="33" t="s">
        <v>113</v>
      </c>
      <c r="C98" s="33"/>
      <c r="D98" s="41" t="s">
        <v>554</v>
      </c>
      <c r="E98" s="28"/>
      <c r="F98" s="28">
        <v>4910</v>
      </c>
      <c r="G98" s="35">
        <v>500</v>
      </c>
      <c r="H98" s="35">
        <f t="shared" si="0"/>
        <v>75000</v>
      </c>
      <c r="I98" s="34">
        <v>44820</v>
      </c>
      <c r="J98" s="34">
        <v>44865</v>
      </c>
    </row>
    <row r="99" spans="1:10">
      <c r="A99" s="13" t="s">
        <v>392</v>
      </c>
      <c r="B99" s="33" t="s">
        <v>113</v>
      </c>
      <c r="C99" s="33"/>
      <c r="D99" s="41" t="s">
        <v>588</v>
      </c>
      <c r="E99" s="28"/>
      <c r="F99" s="28">
        <v>4910</v>
      </c>
      <c r="G99" s="35">
        <v>500</v>
      </c>
      <c r="H99" s="35">
        <f t="shared" si="0"/>
        <v>75000</v>
      </c>
      <c r="I99" s="34">
        <v>44820</v>
      </c>
      <c r="J99" s="34">
        <v>44865</v>
      </c>
    </row>
    <row r="100" spans="1:10">
      <c r="A100" s="13" t="s">
        <v>392</v>
      </c>
      <c r="B100" s="33" t="s">
        <v>113</v>
      </c>
      <c r="C100" s="33"/>
      <c r="D100" s="41" t="s">
        <v>599</v>
      </c>
      <c r="E100" s="28"/>
      <c r="F100" s="28">
        <v>4910</v>
      </c>
      <c r="G100" s="35">
        <v>500</v>
      </c>
      <c r="H100" s="35">
        <f t="shared" si="0"/>
        <v>75000</v>
      </c>
      <c r="I100" s="34">
        <v>44820</v>
      </c>
      <c r="J100" s="34">
        <v>44865</v>
      </c>
    </row>
    <row r="101" spans="1:10">
      <c r="A101" s="13" t="s">
        <v>392</v>
      </c>
      <c r="B101" s="33" t="s">
        <v>113</v>
      </c>
      <c r="C101" s="33"/>
      <c r="D101" s="41" t="s">
        <v>600</v>
      </c>
      <c r="E101" s="28"/>
      <c r="F101" s="28">
        <v>4910</v>
      </c>
      <c r="G101" s="35">
        <v>1500</v>
      </c>
      <c r="H101" s="35">
        <f t="shared" si="0"/>
        <v>225000</v>
      </c>
      <c r="I101" s="34">
        <v>44820</v>
      </c>
      <c r="J101" s="34">
        <v>44865</v>
      </c>
    </row>
    <row r="102" spans="1:10">
      <c r="A102" s="13" t="s">
        <v>392</v>
      </c>
      <c r="B102" s="33" t="s">
        <v>113</v>
      </c>
      <c r="C102" s="33"/>
      <c r="D102" s="41" t="s">
        <v>601</v>
      </c>
      <c r="E102" s="28"/>
      <c r="F102" s="28">
        <v>4910</v>
      </c>
      <c r="G102" s="35">
        <v>1500</v>
      </c>
      <c r="H102" s="35">
        <f t="shared" si="0"/>
        <v>225000</v>
      </c>
      <c r="I102" s="34">
        <v>44820</v>
      </c>
      <c r="J102" s="34">
        <v>44865</v>
      </c>
    </row>
    <row r="103" spans="1:10">
      <c r="A103" s="13" t="s">
        <v>392</v>
      </c>
      <c r="B103" s="33" t="s">
        <v>113</v>
      </c>
      <c r="C103" s="33"/>
      <c r="D103" s="41" t="s">
        <v>602</v>
      </c>
      <c r="E103" s="28"/>
      <c r="F103" s="28">
        <v>4910</v>
      </c>
      <c r="G103" s="35">
        <v>1500</v>
      </c>
      <c r="H103" s="35">
        <f t="shared" si="0"/>
        <v>225000</v>
      </c>
      <c r="I103" s="34">
        <v>44820</v>
      </c>
      <c r="J103" s="34">
        <v>44865</v>
      </c>
    </row>
    <row r="104" spans="1:10">
      <c r="A104" s="13" t="s">
        <v>392</v>
      </c>
      <c r="B104" s="33" t="s">
        <v>113</v>
      </c>
      <c r="C104" s="33"/>
      <c r="D104" s="41" t="s">
        <v>603</v>
      </c>
      <c r="E104" s="28"/>
      <c r="F104" s="28">
        <v>4910</v>
      </c>
      <c r="G104" s="35">
        <v>1000</v>
      </c>
      <c r="H104" s="35">
        <f t="shared" si="0"/>
        <v>150000</v>
      </c>
      <c r="I104" s="34">
        <v>44820</v>
      </c>
      <c r="J104" s="34">
        <v>44865</v>
      </c>
    </row>
    <row r="105" spans="1:10">
      <c r="A105" s="13" t="s">
        <v>392</v>
      </c>
      <c r="B105" s="33" t="s">
        <v>113</v>
      </c>
      <c r="C105" s="33"/>
      <c r="D105" s="41" t="s">
        <v>604</v>
      </c>
      <c r="E105" s="28"/>
      <c r="F105" s="28">
        <v>4910</v>
      </c>
      <c r="G105" s="35">
        <v>10000</v>
      </c>
      <c r="H105" s="35">
        <f t="shared" si="0"/>
        <v>1500000</v>
      </c>
      <c r="I105" s="34">
        <v>44823</v>
      </c>
      <c r="J105" s="34">
        <v>44865</v>
      </c>
    </row>
    <row r="106" spans="1:10">
      <c r="A106" s="13" t="s">
        <v>392</v>
      </c>
      <c r="B106" s="33" t="s">
        <v>113</v>
      </c>
      <c r="C106" s="33"/>
      <c r="D106" s="41" t="s">
        <v>609</v>
      </c>
      <c r="E106" s="28"/>
      <c r="F106" s="28">
        <v>4915</v>
      </c>
      <c r="G106" s="35">
        <v>1000</v>
      </c>
      <c r="H106" s="35">
        <f t="shared" si="0"/>
        <v>150000</v>
      </c>
      <c r="I106" s="34">
        <v>44823</v>
      </c>
      <c r="J106" s="34">
        <v>44865</v>
      </c>
    </row>
    <row r="107" spans="1:10">
      <c r="A107" s="13" t="s">
        <v>392</v>
      </c>
      <c r="B107" s="33" t="s">
        <v>113</v>
      </c>
      <c r="C107" s="33"/>
      <c r="D107" s="41" t="s">
        <v>610</v>
      </c>
      <c r="E107" s="28"/>
      <c r="F107" s="28">
        <v>4915</v>
      </c>
      <c r="G107" s="35">
        <v>1000</v>
      </c>
      <c r="H107" s="35">
        <f t="shared" si="0"/>
        <v>150000</v>
      </c>
      <c r="I107" s="34">
        <v>44823</v>
      </c>
      <c r="J107" s="34">
        <v>44865</v>
      </c>
    </row>
    <row r="108" spans="1:10">
      <c r="A108" s="13" t="s">
        <v>392</v>
      </c>
      <c r="B108" s="33" t="s">
        <v>113</v>
      </c>
      <c r="C108" s="33"/>
      <c r="D108" s="41" t="s">
        <v>611</v>
      </c>
      <c r="E108" s="28"/>
      <c r="F108" s="28">
        <v>4915</v>
      </c>
      <c r="G108" s="35">
        <v>1000</v>
      </c>
      <c r="H108" s="35">
        <f t="shared" si="0"/>
        <v>150000</v>
      </c>
      <c r="I108" s="34">
        <v>44823</v>
      </c>
      <c r="J108" s="34">
        <v>44865</v>
      </c>
    </row>
    <row r="109" spans="1:10">
      <c r="A109" s="13" t="s">
        <v>392</v>
      </c>
      <c r="B109" s="33" t="s">
        <v>113</v>
      </c>
      <c r="C109" s="33"/>
      <c r="D109" s="41" t="s">
        <v>612</v>
      </c>
      <c r="E109" s="28"/>
      <c r="F109" s="28">
        <v>4915</v>
      </c>
      <c r="G109" s="35">
        <v>2000</v>
      </c>
      <c r="H109" s="35">
        <f t="shared" si="0"/>
        <v>300000</v>
      </c>
      <c r="I109" s="34">
        <v>44823</v>
      </c>
      <c r="J109" s="34">
        <v>44865</v>
      </c>
    </row>
    <row r="110" spans="1:10">
      <c r="A110" s="13" t="s">
        <v>392</v>
      </c>
      <c r="B110" s="33" t="s">
        <v>1</v>
      </c>
      <c r="C110" s="33"/>
      <c r="D110" s="41" t="s">
        <v>489</v>
      </c>
      <c r="E110" s="28"/>
      <c r="F110" s="28">
        <v>2699</v>
      </c>
      <c r="G110" s="35">
        <v>10000</v>
      </c>
      <c r="H110" s="35">
        <f t="shared" si="0"/>
        <v>1500000</v>
      </c>
      <c r="I110" s="34">
        <v>44819</v>
      </c>
      <c r="J110" s="34">
        <v>44865</v>
      </c>
    </row>
    <row r="111" spans="1:10">
      <c r="A111" s="13" t="s">
        <v>392</v>
      </c>
      <c r="B111" s="33" t="s">
        <v>1</v>
      </c>
      <c r="C111" s="33"/>
      <c r="D111" s="41" t="s">
        <v>490</v>
      </c>
      <c r="E111" s="28"/>
      <c r="F111" s="28">
        <v>2699</v>
      </c>
      <c r="G111" s="35">
        <v>10000</v>
      </c>
      <c r="H111" s="35">
        <f t="shared" si="0"/>
        <v>1500000</v>
      </c>
      <c r="I111" s="34">
        <v>44820</v>
      </c>
      <c r="J111" s="34">
        <v>44865</v>
      </c>
    </row>
    <row r="112" spans="1:10">
      <c r="A112" s="13" t="s">
        <v>392</v>
      </c>
      <c r="B112" s="33" t="s">
        <v>1</v>
      </c>
      <c r="C112" s="33"/>
      <c r="D112" s="41" t="s">
        <v>491</v>
      </c>
      <c r="E112" s="28"/>
      <c r="F112" s="28">
        <v>2699</v>
      </c>
      <c r="G112" s="35">
        <v>12000</v>
      </c>
      <c r="H112" s="35">
        <f t="shared" si="0"/>
        <v>1800000</v>
      </c>
      <c r="I112" s="34">
        <v>44820</v>
      </c>
      <c r="J112" s="34">
        <v>44865</v>
      </c>
    </row>
    <row r="113" spans="1:10">
      <c r="A113" s="13" t="s">
        <v>392</v>
      </c>
      <c r="B113" s="33" t="s">
        <v>1</v>
      </c>
      <c r="C113" s="33"/>
      <c r="D113" s="41" t="s">
        <v>492</v>
      </c>
      <c r="E113" s="28"/>
      <c r="F113" s="28">
        <v>2699</v>
      </c>
      <c r="G113" s="35">
        <v>12000</v>
      </c>
      <c r="H113" s="35">
        <f t="shared" si="0"/>
        <v>1800000</v>
      </c>
      <c r="I113" s="34">
        <v>44820</v>
      </c>
      <c r="J113" s="34">
        <v>44865</v>
      </c>
    </row>
    <row r="114" spans="1:10">
      <c r="A114" s="13" t="s">
        <v>392</v>
      </c>
      <c r="B114" s="33" t="s">
        <v>1</v>
      </c>
      <c r="C114" s="33"/>
      <c r="D114" s="41" t="s">
        <v>476</v>
      </c>
      <c r="E114" s="28"/>
      <c r="F114" s="28">
        <v>2699</v>
      </c>
      <c r="G114" s="35">
        <v>9000</v>
      </c>
      <c r="H114" s="35">
        <f t="shared" si="0"/>
        <v>1350000</v>
      </c>
      <c r="I114" s="34">
        <v>44820</v>
      </c>
      <c r="J114" s="34">
        <v>44865</v>
      </c>
    </row>
    <row r="115" spans="1:10">
      <c r="A115" s="13" t="s">
        <v>392</v>
      </c>
      <c r="B115" s="33" t="s">
        <v>1</v>
      </c>
      <c r="C115" s="33"/>
      <c r="D115" s="41" t="s">
        <v>477</v>
      </c>
      <c r="E115" s="28"/>
      <c r="F115" s="28">
        <v>2699</v>
      </c>
      <c r="G115" s="35">
        <v>5000</v>
      </c>
      <c r="H115" s="35">
        <f t="shared" si="0"/>
        <v>750000</v>
      </c>
      <c r="I115" s="34">
        <v>44820</v>
      </c>
      <c r="J115" s="34">
        <v>44865</v>
      </c>
    </row>
    <row r="116" spans="1:10">
      <c r="A116" s="13" t="s">
        <v>392</v>
      </c>
      <c r="B116" s="33" t="s">
        <v>1</v>
      </c>
      <c r="C116" s="33"/>
      <c r="D116" s="41" t="s">
        <v>478</v>
      </c>
      <c r="E116" s="28"/>
      <c r="F116" s="28">
        <v>2699</v>
      </c>
      <c r="G116" s="35">
        <v>10000</v>
      </c>
      <c r="H116" s="35">
        <f t="shared" si="0"/>
        <v>1500000</v>
      </c>
      <c r="I116" s="34">
        <v>44820</v>
      </c>
      <c r="J116" s="34">
        <v>44865</v>
      </c>
    </row>
    <row r="117" spans="1:10">
      <c r="A117" s="13" t="s">
        <v>392</v>
      </c>
      <c r="B117" s="33" t="s">
        <v>1</v>
      </c>
      <c r="C117" s="33"/>
      <c r="D117" s="41" t="s">
        <v>479</v>
      </c>
      <c r="E117" s="28"/>
      <c r="F117" s="28">
        <v>2699</v>
      </c>
      <c r="G117" s="35">
        <v>10000</v>
      </c>
      <c r="H117" s="35">
        <f t="shared" si="0"/>
        <v>1500000</v>
      </c>
      <c r="I117" s="34">
        <v>44820</v>
      </c>
      <c r="J117" s="34">
        <v>44865</v>
      </c>
    </row>
    <row r="118" spans="1:10">
      <c r="A118" s="13" t="s">
        <v>392</v>
      </c>
      <c r="B118" s="33" t="s">
        <v>1</v>
      </c>
      <c r="C118" s="33"/>
      <c r="D118" s="41" t="s">
        <v>480</v>
      </c>
      <c r="E118" s="28"/>
      <c r="F118" s="28">
        <v>2699</v>
      </c>
      <c r="G118" s="35">
        <v>1000</v>
      </c>
      <c r="H118" s="35">
        <f t="shared" si="0"/>
        <v>150000</v>
      </c>
      <c r="I118" s="34">
        <v>44820</v>
      </c>
      <c r="J118" s="34">
        <v>44865</v>
      </c>
    </row>
    <row r="119" spans="1:10">
      <c r="A119" s="13" t="s">
        <v>392</v>
      </c>
      <c r="B119" s="33" t="s">
        <v>1</v>
      </c>
      <c r="C119" s="33"/>
      <c r="D119" s="41" t="s">
        <v>481</v>
      </c>
      <c r="E119" s="28"/>
      <c r="F119" s="28">
        <v>2699</v>
      </c>
      <c r="G119" s="35">
        <v>1000</v>
      </c>
      <c r="H119" s="35">
        <f t="shared" si="0"/>
        <v>150000</v>
      </c>
      <c r="I119" s="34">
        <v>44820</v>
      </c>
      <c r="J119" s="34">
        <v>44865</v>
      </c>
    </row>
    <row r="120" spans="1:10">
      <c r="A120" s="13" t="s">
        <v>392</v>
      </c>
      <c r="B120" s="33" t="s">
        <v>1</v>
      </c>
      <c r="C120" s="33"/>
      <c r="D120" s="41" t="s">
        <v>482</v>
      </c>
      <c r="E120" s="28"/>
      <c r="F120" s="28">
        <v>2699</v>
      </c>
      <c r="G120" s="35">
        <v>1000</v>
      </c>
      <c r="H120" s="35">
        <f t="shared" si="0"/>
        <v>150000</v>
      </c>
      <c r="I120" s="34">
        <v>44820</v>
      </c>
      <c r="J120" s="34">
        <v>44865</v>
      </c>
    </row>
    <row r="121" spans="1:10">
      <c r="A121" s="13" t="s">
        <v>392</v>
      </c>
      <c r="B121" s="33" t="s">
        <v>1</v>
      </c>
      <c r="C121" s="33"/>
      <c r="D121" s="41" t="s">
        <v>483</v>
      </c>
      <c r="E121" s="28"/>
      <c r="F121" s="28">
        <v>2699</v>
      </c>
      <c r="G121" s="35">
        <v>1000</v>
      </c>
      <c r="H121" s="35">
        <f t="shared" si="0"/>
        <v>150000</v>
      </c>
      <c r="I121" s="34">
        <v>44820</v>
      </c>
      <c r="J121" s="34">
        <v>44865</v>
      </c>
    </row>
    <row r="122" spans="1:10">
      <c r="A122" s="13" t="s">
        <v>392</v>
      </c>
      <c r="B122" s="33" t="s">
        <v>1</v>
      </c>
      <c r="C122" s="33"/>
      <c r="D122" s="41" t="s">
        <v>484</v>
      </c>
      <c r="E122" s="28"/>
      <c r="F122" s="28">
        <v>2699</v>
      </c>
      <c r="G122" s="35">
        <v>1000</v>
      </c>
      <c r="H122" s="35">
        <f t="shared" si="0"/>
        <v>150000</v>
      </c>
      <c r="I122" s="34">
        <v>44820</v>
      </c>
      <c r="J122" s="34">
        <v>44865</v>
      </c>
    </row>
    <row r="123" spans="1:10">
      <c r="A123" s="13" t="s">
        <v>392</v>
      </c>
      <c r="B123" s="33" t="s">
        <v>1</v>
      </c>
      <c r="C123" s="33"/>
      <c r="D123" s="41" t="s">
        <v>485</v>
      </c>
      <c r="E123" s="28"/>
      <c r="F123" s="28">
        <v>2699</v>
      </c>
      <c r="G123" s="35">
        <v>1000</v>
      </c>
      <c r="H123" s="35">
        <f t="shared" si="0"/>
        <v>150000</v>
      </c>
      <c r="I123" s="34">
        <v>44820</v>
      </c>
      <c r="J123" s="34">
        <v>44865</v>
      </c>
    </row>
    <row r="124" spans="1:10">
      <c r="A124" s="13" t="s">
        <v>392</v>
      </c>
      <c r="B124" s="33" t="s">
        <v>1</v>
      </c>
      <c r="C124" s="33"/>
      <c r="D124" s="41" t="s">
        <v>486</v>
      </c>
      <c r="E124" s="28"/>
      <c r="F124" s="28">
        <v>2699</v>
      </c>
      <c r="G124" s="35">
        <v>5000</v>
      </c>
      <c r="H124" s="35">
        <f t="shared" si="0"/>
        <v>750000</v>
      </c>
      <c r="I124" s="34">
        <v>44820</v>
      </c>
      <c r="J124" s="34">
        <v>44865</v>
      </c>
    </row>
    <row r="125" spans="1:10">
      <c r="A125" s="13" t="s">
        <v>392</v>
      </c>
      <c r="B125" s="33" t="s">
        <v>1</v>
      </c>
      <c r="C125" s="33"/>
      <c r="D125" s="41" t="s">
        <v>487</v>
      </c>
      <c r="E125" s="28"/>
      <c r="F125" s="28">
        <v>2699</v>
      </c>
      <c r="G125" s="35">
        <v>5000</v>
      </c>
      <c r="H125" s="35">
        <f t="shared" si="0"/>
        <v>750000</v>
      </c>
      <c r="I125" s="34">
        <v>44820</v>
      </c>
      <c r="J125" s="34">
        <v>44865</v>
      </c>
    </row>
    <row r="126" spans="1:10">
      <c r="A126" s="13" t="s">
        <v>392</v>
      </c>
      <c r="B126" s="33" t="s">
        <v>1</v>
      </c>
      <c r="C126" s="33"/>
      <c r="D126" s="41" t="s">
        <v>488</v>
      </c>
      <c r="E126" s="28"/>
      <c r="F126" s="28">
        <v>2699</v>
      </c>
      <c r="G126" s="35">
        <v>500</v>
      </c>
      <c r="H126" s="35">
        <f t="shared" si="0"/>
        <v>75000</v>
      </c>
      <c r="I126" s="34">
        <v>44820</v>
      </c>
      <c r="J126" s="34">
        <v>44865</v>
      </c>
    </row>
    <row r="127" spans="1:10">
      <c r="A127" s="13" t="s">
        <v>392</v>
      </c>
      <c r="B127" s="33" t="s">
        <v>1</v>
      </c>
      <c r="C127" s="33"/>
      <c r="D127" s="41" t="s">
        <v>493</v>
      </c>
      <c r="E127" s="28"/>
      <c r="F127" s="28">
        <v>2699</v>
      </c>
      <c r="G127" s="35">
        <v>500</v>
      </c>
      <c r="H127" s="35">
        <f t="shared" si="0"/>
        <v>75000</v>
      </c>
      <c r="I127" s="34">
        <v>44820</v>
      </c>
      <c r="J127" s="34">
        <v>44865</v>
      </c>
    </row>
    <row r="128" spans="1:10">
      <c r="A128" s="13" t="s">
        <v>392</v>
      </c>
      <c r="B128" s="33" t="s">
        <v>1</v>
      </c>
      <c r="C128" s="33"/>
      <c r="D128" s="41" t="s">
        <v>494</v>
      </c>
      <c r="E128" s="28"/>
      <c r="F128" s="28">
        <v>2699</v>
      </c>
      <c r="G128" s="35">
        <v>500</v>
      </c>
      <c r="H128" s="35">
        <f t="shared" si="0"/>
        <v>75000</v>
      </c>
      <c r="I128" s="34">
        <v>44820</v>
      </c>
      <c r="J128" s="34">
        <v>44865</v>
      </c>
    </row>
    <row r="129" spans="1:10">
      <c r="A129" s="13" t="s">
        <v>392</v>
      </c>
      <c r="B129" s="33" t="s">
        <v>1</v>
      </c>
      <c r="C129" s="33"/>
      <c r="D129" s="41" t="s">
        <v>495</v>
      </c>
      <c r="E129" s="28"/>
      <c r="F129" s="28">
        <v>2699</v>
      </c>
      <c r="G129" s="35">
        <v>500</v>
      </c>
      <c r="H129" s="35">
        <f t="shared" si="0"/>
        <v>75000</v>
      </c>
      <c r="I129" s="34">
        <v>44820</v>
      </c>
      <c r="J129" s="34">
        <v>44865</v>
      </c>
    </row>
    <row r="130" spans="1:10">
      <c r="A130" s="13" t="s">
        <v>392</v>
      </c>
      <c r="B130" s="33" t="s">
        <v>1</v>
      </c>
      <c r="C130" s="33"/>
      <c r="D130" s="41" t="s">
        <v>496</v>
      </c>
      <c r="E130" s="28"/>
      <c r="F130" s="28">
        <v>2699</v>
      </c>
      <c r="G130" s="35">
        <v>500</v>
      </c>
      <c r="H130" s="35">
        <f t="shared" si="0"/>
        <v>75000</v>
      </c>
      <c r="I130" s="34">
        <v>44820</v>
      </c>
      <c r="J130" s="34">
        <v>44865</v>
      </c>
    </row>
    <row r="131" spans="1:10">
      <c r="A131" s="13" t="s">
        <v>392</v>
      </c>
      <c r="B131" s="33" t="s">
        <v>1</v>
      </c>
      <c r="C131" s="33"/>
      <c r="D131" s="41" t="s">
        <v>497</v>
      </c>
      <c r="E131" s="28"/>
      <c r="F131" s="28">
        <v>2699</v>
      </c>
      <c r="G131" s="35">
        <v>500</v>
      </c>
      <c r="H131" s="35">
        <f t="shared" si="0"/>
        <v>75000</v>
      </c>
      <c r="I131" s="34">
        <v>44820</v>
      </c>
      <c r="J131" s="34">
        <v>44865</v>
      </c>
    </row>
    <row r="132" spans="1:10">
      <c r="A132" s="13" t="s">
        <v>392</v>
      </c>
      <c r="B132" s="33" t="s">
        <v>1</v>
      </c>
      <c r="C132" s="33"/>
      <c r="D132" s="41" t="s">
        <v>498</v>
      </c>
      <c r="E132" s="28"/>
      <c r="F132" s="28">
        <v>2699</v>
      </c>
      <c r="G132" s="35">
        <v>1000</v>
      </c>
      <c r="H132" s="35">
        <f t="shared" si="0"/>
        <v>150000</v>
      </c>
      <c r="I132" s="34">
        <v>44820</v>
      </c>
      <c r="J132" s="34">
        <v>44865</v>
      </c>
    </row>
    <row r="133" spans="1:10">
      <c r="A133" s="13" t="s">
        <v>392</v>
      </c>
      <c r="B133" s="33" t="s">
        <v>1</v>
      </c>
      <c r="C133" s="33"/>
      <c r="D133" s="41" t="s">
        <v>499</v>
      </c>
      <c r="E133" s="28"/>
      <c r="F133" s="28">
        <v>2699</v>
      </c>
      <c r="G133" s="35">
        <v>5000</v>
      </c>
      <c r="H133" s="35">
        <f t="shared" si="0"/>
        <v>750000</v>
      </c>
      <c r="I133" s="34">
        <v>44820</v>
      </c>
      <c r="J133" s="34">
        <v>44865</v>
      </c>
    </row>
    <row r="134" spans="1:10">
      <c r="A134" s="13" t="s">
        <v>392</v>
      </c>
      <c r="B134" s="33" t="s">
        <v>1</v>
      </c>
      <c r="C134" s="33"/>
      <c r="D134" s="41" t="s">
        <v>500</v>
      </c>
      <c r="E134" s="28"/>
      <c r="F134" s="28">
        <v>2699</v>
      </c>
      <c r="G134" s="35">
        <v>5000</v>
      </c>
      <c r="H134" s="35">
        <f t="shared" si="0"/>
        <v>750000</v>
      </c>
      <c r="I134" s="34">
        <v>44820</v>
      </c>
      <c r="J134" s="34">
        <v>44865</v>
      </c>
    </row>
    <row r="135" spans="1:10">
      <c r="A135" s="13" t="s">
        <v>392</v>
      </c>
      <c r="B135" s="33" t="s">
        <v>1</v>
      </c>
      <c r="C135" s="33"/>
      <c r="D135" s="41" t="s">
        <v>501</v>
      </c>
      <c r="E135" s="28"/>
      <c r="F135" s="28">
        <v>2699</v>
      </c>
      <c r="G135" s="35">
        <v>5000</v>
      </c>
      <c r="H135" s="35">
        <f t="shared" si="0"/>
        <v>750000</v>
      </c>
      <c r="I135" s="34">
        <v>44820</v>
      </c>
      <c r="J135" s="34">
        <v>44865</v>
      </c>
    </row>
    <row r="136" spans="1:10">
      <c r="A136" s="13" t="s">
        <v>392</v>
      </c>
      <c r="B136" s="33" t="s">
        <v>1</v>
      </c>
      <c r="C136" s="33"/>
      <c r="D136" s="41" t="s">
        <v>502</v>
      </c>
      <c r="E136" s="28"/>
      <c r="F136" s="28">
        <v>2699</v>
      </c>
      <c r="G136" s="35">
        <v>5000</v>
      </c>
      <c r="H136" s="35">
        <f t="shared" si="0"/>
        <v>750000</v>
      </c>
      <c r="I136" s="34">
        <v>44820</v>
      </c>
      <c r="J136" s="34">
        <v>44865</v>
      </c>
    </row>
    <row r="137" spans="1:10">
      <c r="A137" s="13" t="s">
        <v>392</v>
      </c>
      <c r="B137" s="33" t="s">
        <v>1</v>
      </c>
      <c r="C137" s="33"/>
      <c r="D137" s="41" t="s">
        <v>503</v>
      </c>
      <c r="E137" s="28"/>
      <c r="F137" s="28">
        <v>2699</v>
      </c>
      <c r="G137" s="35">
        <v>5000</v>
      </c>
      <c r="H137" s="35">
        <f t="shared" si="0"/>
        <v>750000</v>
      </c>
      <c r="I137" s="34">
        <v>44820</v>
      </c>
      <c r="J137" s="34">
        <v>44865</v>
      </c>
    </row>
    <row r="138" spans="1:10">
      <c r="A138" s="13" t="s">
        <v>392</v>
      </c>
      <c r="B138" s="33" t="s">
        <v>1</v>
      </c>
      <c r="C138" s="33"/>
      <c r="D138" s="41" t="s">
        <v>504</v>
      </c>
      <c r="E138" s="28"/>
      <c r="F138" s="28">
        <v>2699</v>
      </c>
      <c r="G138" s="35">
        <v>1000</v>
      </c>
      <c r="H138" s="35">
        <f t="shared" si="0"/>
        <v>150000</v>
      </c>
      <c r="I138" s="34">
        <v>44820</v>
      </c>
      <c r="J138" s="34">
        <v>44865</v>
      </c>
    </row>
    <row r="139" spans="1:10">
      <c r="A139" s="13" t="s">
        <v>392</v>
      </c>
      <c r="B139" s="33" t="s">
        <v>1</v>
      </c>
      <c r="C139" s="33"/>
      <c r="D139" s="41" t="s">
        <v>505</v>
      </c>
      <c r="E139" s="28"/>
      <c r="F139" s="28">
        <v>2699</v>
      </c>
      <c r="G139" s="35">
        <v>1000</v>
      </c>
      <c r="H139" s="35">
        <f t="shared" si="0"/>
        <v>150000</v>
      </c>
      <c r="I139" s="34">
        <v>44820</v>
      </c>
      <c r="J139" s="34">
        <v>44865</v>
      </c>
    </row>
    <row r="140" spans="1:10">
      <c r="A140" s="13" t="s">
        <v>392</v>
      </c>
      <c r="B140" s="33" t="s">
        <v>1</v>
      </c>
      <c r="C140" s="33"/>
      <c r="D140" s="41" t="s">
        <v>506</v>
      </c>
      <c r="E140" s="28"/>
      <c r="F140" s="28">
        <v>2699</v>
      </c>
      <c r="G140" s="35">
        <v>1000</v>
      </c>
      <c r="H140" s="35">
        <f t="shared" si="0"/>
        <v>150000</v>
      </c>
      <c r="I140" s="34">
        <v>44820</v>
      </c>
      <c r="J140" s="34">
        <v>44865</v>
      </c>
    </row>
    <row r="141" spans="1:10">
      <c r="A141" s="13" t="s">
        <v>392</v>
      </c>
      <c r="B141" s="33" t="s">
        <v>1</v>
      </c>
      <c r="C141" s="33"/>
      <c r="D141" s="41" t="s">
        <v>507</v>
      </c>
      <c r="E141" s="28"/>
      <c r="F141" s="28">
        <v>2699</v>
      </c>
      <c r="G141" s="35">
        <v>1000</v>
      </c>
      <c r="H141" s="35">
        <f t="shared" si="0"/>
        <v>150000</v>
      </c>
      <c r="I141" s="34">
        <v>44820</v>
      </c>
      <c r="J141" s="34">
        <v>44865</v>
      </c>
    </row>
    <row r="142" spans="1:10">
      <c r="A142" s="13" t="s">
        <v>392</v>
      </c>
      <c r="B142" s="33" t="s">
        <v>1</v>
      </c>
      <c r="C142" s="33"/>
      <c r="D142" s="41" t="s">
        <v>508</v>
      </c>
      <c r="E142" s="28"/>
      <c r="F142" s="28">
        <v>2699</v>
      </c>
      <c r="G142" s="35">
        <v>1000</v>
      </c>
      <c r="H142" s="35">
        <f t="shared" si="0"/>
        <v>150000</v>
      </c>
      <c r="I142" s="34">
        <v>44820</v>
      </c>
      <c r="J142" s="34">
        <v>44865</v>
      </c>
    </row>
    <row r="143" spans="1:10">
      <c r="A143" s="13" t="s">
        <v>392</v>
      </c>
      <c r="B143" s="33" t="s">
        <v>1</v>
      </c>
      <c r="C143" s="33"/>
      <c r="D143" s="13" t="s">
        <v>509</v>
      </c>
      <c r="E143" s="28"/>
      <c r="F143" s="28">
        <v>2699</v>
      </c>
      <c r="G143" s="35">
        <v>1000</v>
      </c>
      <c r="H143" s="35">
        <f t="shared" si="0"/>
        <v>150000</v>
      </c>
      <c r="I143" s="34">
        <v>44820</v>
      </c>
      <c r="J143" s="34">
        <v>44865</v>
      </c>
    </row>
    <row r="144" spans="1:10">
      <c r="A144" s="13" t="s">
        <v>392</v>
      </c>
      <c r="B144" s="33" t="s">
        <v>1</v>
      </c>
      <c r="C144" s="33"/>
      <c r="D144" s="41" t="s">
        <v>510</v>
      </c>
      <c r="E144" s="28"/>
      <c r="F144" s="28">
        <v>2699</v>
      </c>
      <c r="G144" s="35">
        <v>5000</v>
      </c>
      <c r="H144" s="35">
        <f t="shared" si="0"/>
        <v>750000</v>
      </c>
      <c r="I144" s="34">
        <v>44820</v>
      </c>
      <c r="J144" s="34">
        <v>44865</v>
      </c>
    </row>
    <row r="145" spans="1:10">
      <c r="A145" s="13" t="s">
        <v>392</v>
      </c>
      <c r="B145" s="33" t="s">
        <v>1</v>
      </c>
      <c r="C145" s="33"/>
      <c r="D145" s="41" t="s">
        <v>512</v>
      </c>
      <c r="E145" s="28"/>
      <c r="F145" s="28">
        <v>2699</v>
      </c>
      <c r="G145" s="35">
        <v>5000</v>
      </c>
      <c r="H145" s="35">
        <f t="shared" si="0"/>
        <v>750000</v>
      </c>
      <c r="I145" s="34">
        <v>44820</v>
      </c>
      <c r="J145" s="34">
        <v>44865</v>
      </c>
    </row>
    <row r="146" spans="1:10">
      <c r="A146" s="13" t="s">
        <v>392</v>
      </c>
      <c r="B146" s="33" t="s">
        <v>1</v>
      </c>
      <c r="C146" s="33"/>
      <c r="D146" s="41" t="s">
        <v>513</v>
      </c>
      <c r="E146" s="28"/>
      <c r="F146" s="28">
        <v>2699</v>
      </c>
      <c r="G146" s="35">
        <v>5000</v>
      </c>
      <c r="H146" s="35">
        <f t="shared" si="0"/>
        <v>750000</v>
      </c>
      <c r="I146" s="34">
        <v>44820</v>
      </c>
      <c r="J146" s="34">
        <v>44865</v>
      </c>
    </row>
    <row r="147" spans="1:10">
      <c r="A147" s="13" t="s">
        <v>392</v>
      </c>
      <c r="B147" s="33" t="s">
        <v>1</v>
      </c>
      <c r="C147" s="33"/>
      <c r="D147" s="41" t="s">
        <v>514</v>
      </c>
      <c r="E147" s="28"/>
      <c r="F147" s="28">
        <v>2699</v>
      </c>
      <c r="G147" s="35">
        <v>5000</v>
      </c>
      <c r="H147" s="35">
        <f t="shared" si="0"/>
        <v>750000</v>
      </c>
      <c r="I147" s="34">
        <v>44820</v>
      </c>
      <c r="J147" s="34">
        <v>44865</v>
      </c>
    </row>
    <row r="148" spans="1:10">
      <c r="A148" s="13" t="s">
        <v>392</v>
      </c>
      <c r="B148" s="33" t="s">
        <v>1</v>
      </c>
      <c r="C148" s="33"/>
      <c r="D148" s="41" t="s">
        <v>511</v>
      </c>
      <c r="E148" s="28"/>
      <c r="F148" s="28">
        <v>2699</v>
      </c>
      <c r="G148" s="35">
        <v>1000</v>
      </c>
      <c r="H148" s="35">
        <f t="shared" si="0"/>
        <v>150000</v>
      </c>
      <c r="I148" s="34">
        <v>44820</v>
      </c>
      <c r="J148" s="34">
        <v>44865</v>
      </c>
    </row>
    <row r="149" spans="1:10">
      <c r="A149" s="13" t="s">
        <v>392</v>
      </c>
      <c r="B149" s="33" t="s">
        <v>1</v>
      </c>
      <c r="C149" s="33"/>
      <c r="D149" s="41" t="s">
        <v>531</v>
      </c>
      <c r="E149" s="28"/>
      <c r="F149" s="28">
        <v>2814</v>
      </c>
      <c r="G149" s="35">
        <v>1000</v>
      </c>
      <c r="H149" s="35">
        <f t="shared" si="0"/>
        <v>150000</v>
      </c>
      <c r="I149" s="34">
        <v>44819</v>
      </c>
      <c r="J149" s="34">
        <v>44865</v>
      </c>
    </row>
    <row r="150" spans="1:10">
      <c r="A150" s="13" t="s">
        <v>392</v>
      </c>
      <c r="B150" s="33" t="s">
        <v>1</v>
      </c>
      <c r="C150" s="33"/>
      <c r="D150" s="41" t="s">
        <v>617</v>
      </c>
      <c r="E150" s="28"/>
      <c r="F150" s="28">
        <v>2819</v>
      </c>
      <c r="G150" s="35">
        <v>1000</v>
      </c>
      <c r="H150" s="35">
        <f t="shared" si="0"/>
        <v>150000</v>
      </c>
      <c r="I150" s="34">
        <v>44823</v>
      </c>
      <c r="J150" s="34">
        <v>44865</v>
      </c>
    </row>
    <row r="151" spans="1:10">
      <c r="A151" s="13" t="s">
        <v>392</v>
      </c>
      <c r="B151" s="33" t="s">
        <v>1</v>
      </c>
      <c r="C151" s="33"/>
      <c r="D151" s="41" t="s">
        <v>636</v>
      </c>
      <c r="E151" s="28"/>
      <c r="F151" s="28">
        <v>2850</v>
      </c>
      <c r="G151" s="35">
        <v>30000</v>
      </c>
      <c r="H151" s="35">
        <f>G151*154</f>
        <v>4620000</v>
      </c>
      <c r="I151" s="34">
        <v>44845</v>
      </c>
      <c r="J151" s="34">
        <v>44865</v>
      </c>
    </row>
    <row r="152" spans="1:10">
      <c r="A152" s="13" t="s">
        <v>392</v>
      </c>
      <c r="B152" s="33" t="s">
        <v>114</v>
      </c>
      <c r="C152" s="33"/>
      <c r="D152" s="41" t="s">
        <v>532</v>
      </c>
      <c r="E152" s="28"/>
      <c r="F152" s="28">
        <v>2814</v>
      </c>
      <c r="G152" s="35">
        <v>1000</v>
      </c>
      <c r="H152" s="35">
        <f t="shared" si="0"/>
        <v>150000</v>
      </c>
      <c r="I152" s="34">
        <v>44820</v>
      </c>
      <c r="J152" s="34">
        <v>44865</v>
      </c>
    </row>
    <row r="153" spans="1:10">
      <c r="A153" s="13" t="s">
        <v>392</v>
      </c>
      <c r="B153" s="33" t="s">
        <v>114</v>
      </c>
      <c r="C153" s="33"/>
      <c r="D153" s="41" t="s">
        <v>533</v>
      </c>
      <c r="E153" s="28"/>
      <c r="F153" s="28">
        <v>2814</v>
      </c>
      <c r="G153" s="35">
        <v>1000</v>
      </c>
      <c r="H153" s="35">
        <f t="shared" si="0"/>
        <v>150000</v>
      </c>
      <c r="I153" s="34">
        <v>44820</v>
      </c>
      <c r="J153" s="34">
        <v>44865</v>
      </c>
    </row>
    <row r="154" spans="1:10">
      <c r="A154" s="13" t="s">
        <v>392</v>
      </c>
      <c r="B154" s="33" t="s">
        <v>114</v>
      </c>
      <c r="C154" s="33"/>
      <c r="D154" s="41" t="s">
        <v>534</v>
      </c>
      <c r="E154" s="28"/>
      <c r="F154" s="28">
        <v>2814</v>
      </c>
      <c r="G154" s="35">
        <v>1000</v>
      </c>
      <c r="H154" s="35">
        <f t="shared" si="0"/>
        <v>150000</v>
      </c>
      <c r="I154" s="34">
        <v>44820</v>
      </c>
      <c r="J154" s="34">
        <v>44865</v>
      </c>
    </row>
    <row r="155" spans="1:10">
      <c r="A155" s="13" t="s">
        <v>392</v>
      </c>
      <c r="B155" s="33" t="s">
        <v>114</v>
      </c>
      <c r="C155" s="33"/>
      <c r="D155" s="41" t="s">
        <v>535</v>
      </c>
      <c r="E155" s="28"/>
      <c r="F155" s="28">
        <v>2814</v>
      </c>
      <c r="G155" s="35">
        <v>1000</v>
      </c>
      <c r="H155" s="35">
        <f t="shared" si="0"/>
        <v>150000</v>
      </c>
      <c r="I155" s="34">
        <v>44820</v>
      </c>
      <c r="J155" s="34">
        <v>44865</v>
      </c>
    </row>
    <row r="156" spans="1:10">
      <c r="A156" s="13" t="s">
        <v>392</v>
      </c>
      <c r="B156" s="33" t="s">
        <v>114</v>
      </c>
      <c r="C156" s="33"/>
      <c r="D156" s="41" t="s">
        <v>529</v>
      </c>
      <c r="E156" s="28"/>
      <c r="F156" s="28">
        <v>2814</v>
      </c>
      <c r="G156" s="35">
        <v>1000</v>
      </c>
      <c r="H156" s="35">
        <f t="shared" si="0"/>
        <v>150000</v>
      </c>
      <c r="I156" s="34">
        <v>44820</v>
      </c>
      <c r="J156" s="34">
        <v>44865</v>
      </c>
    </row>
    <row r="157" spans="1:10">
      <c r="A157" s="13" t="s">
        <v>392</v>
      </c>
      <c r="B157" s="33" t="s">
        <v>114</v>
      </c>
      <c r="C157" s="33"/>
      <c r="D157" s="41" t="s">
        <v>530</v>
      </c>
      <c r="E157" s="28"/>
      <c r="F157" s="28">
        <v>2814</v>
      </c>
      <c r="G157" s="35">
        <v>1000</v>
      </c>
      <c r="H157" s="35">
        <f t="shared" si="0"/>
        <v>150000</v>
      </c>
      <c r="I157" s="34">
        <v>44820</v>
      </c>
      <c r="J157" s="34">
        <v>44865</v>
      </c>
    </row>
    <row r="158" spans="1:10">
      <c r="A158" s="13" t="s">
        <v>392</v>
      </c>
      <c r="B158" s="33" t="s">
        <v>114</v>
      </c>
      <c r="C158" s="33"/>
      <c r="D158" s="41" t="s">
        <v>526</v>
      </c>
      <c r="E158" s="28"/>
      <c r="F158" s="28">
        <v>2814</v>
      </c>
      <c r="G158" s="35">
        <v>1000</v>
      </c>
      <c r="H158" s="35">
        <f t="shared" si="0"/>
        <v>150000</v>
      </c>
      <c r="I158" s="34">
        <v>44820</v>
      </c>
      <c r="J158" s="34">
        <v>44865</v>
      </c>
    </row>
    <row r="159" spans="1:10">
      <c r="A159" s="13" t="s">
        <v>392</v>
      </c>
      <c r="B159" s="33" t="s">
        <v>114</v>
      </c>
      <c r="C159" s="33"/>
      <c r="D159" s="41" t="s">
        <v>527</v>
      </c>
      <c r="E159" s="28"/>
      <c r="F159" s="28">
        <v>2814</v>
      </c>
      <c r="G159" s="35">
        <v>1000</v>
      </c>
      <c r="H159" s="35">
        <f t="shared" si="0"/>
        <v>150000</v>
      </c>
      <c r="I159" s="34">
        <v>44820</v>
      </c>
      <c r="J159" s="34">
        <v>44865</v>
      </c>
    </row>
    <row r="160" spans="1:10">
      <c r="A160" s="13" t="s">
        <v>392</v>
      </c>
      <c r="B160" s="33" t="s">
        <v>114</v>
      </c>
      <c r="C160" s="33"/>
      <c r="D160" s="41" t="s">
        <v>528</v>
      </c>
      <c r="E160" s="28"/>
      <c r="F160" s="28">
        <v>2814</v>
      </c>
      <c r="G160" s="35">
        <v>1000</v>
      </c>
      <c r="H160" s="35">
        <f t="shared" si="0"/>
        <v>150000</v>
      </c>
      <c r="I160" s="34">
        <v>44820</v>
      </c>
      <c r="J160" s="34">
        <v>44865</v>
      </c>
    </row>
    <row r="161" spans="1:10">
      <c r="A161" s="13" t="s">
        <v>392</v>
      </c>
      <c r="B161" s="33" t="s">
        <v>114</v>
      </c>
      <c r="C161" s="33"/>
      <c r="D161" s="41" t="s">
        <v>536</v>
      </c>
      <c r="E161" s="28"/>
      <c r="F161" s="28">
        <v>2814</v>
      </c>
      <c r="G161" s="35">
        <v>1000</v>
      </c>
      <c r="H161" s="35">
        <f t="shared" si="0"/>
        <v>150000</v>
      </c>
      <c r="I161" s="34">
        <v>44820</v>
      </c>
      <c r="J161" s="34">
        <v>44865</v>
      </c>
    </row>
    <row r="162" spans="1:10">
      <c r="A162" s="13" t="s">
        <v>392</v>
      </c>
      <c r="B162" s="33" t="s">
        <v>114</v>
      </c>
      <c r="C162" s="33"/>
      <c r="D162" s="41" t="s">
        <v>537</v>
      </c>
      <c r="E162" s="28"/>
      <c r="F162" s="28">
        <v>2814</v>
      </c>
      <c r="G162" s="35">
        <v>1000</v>
      </c>
      <c r="H162" s="35">
        <f t="shared" si="0"/>
        <v>150000</v>
      </c>
      <c r="I162" s="34">
        <v>44820</v>
      </c>
      <c r="J162" s="34">
        <v>44865</v>
      </c>
    </row>
    <row r="163" spans="1:10">
      <c r="A163" s="13" t="s">
        <v>392</v>
      </c>
      <c r="B163" s="33" t="s">
        <v>114</v>
      </c>
      <c r="C163" s="33"/>
      <c r="D163" s="41" t="s">
        <v>538</v>
      </c>
      <c r="E163" s="28"/>
      <c r="F163" s="28">
        <v>2814</v>
      </c>
      <c r="G163" s="35">
        <v>1000</v>
      </c>
      <c r="H163" s="35">
        <f t="shared" si="0"/>
        <v>150000</v>
      </c>
      <c r="I163" s="34">
        <v>44820</v>
      </c>
      <c r="J163" s="34">
        <v>44865</v>
      </c>
    </row>
    <row r="164" spans="1:10">
      <c r="A164" s="13" t="s">
        <v>392</v>
      </c>
      <c r="B164" s="33" t="s">
        <v>114</v>
      </c>
      <c r="C164" s="33"/>
      <c r="D164" s="13" t="s">
        <v>540</v>
      </c>
      <c r="E164" s="28"/>
      <c r="F164" s="28">
        <v>2814</v>
      </c>
      <c r="G164" s="35">
        <v>1000</v>
      </c>
      <c r="H164" s="35">
        <f t="shared" si="0"/>
        <v>150000</v>
      </c>
      <c r="I164" s="34">
        <v>44820</v>
      </c>
      <c r="J164" s="34">
        <v>44865</v>
      </c>
    </row>
    <row r="165" spans="1:10">
      <c r="A165" s="13" t="s">
        <v>392</v>
      </c>
      <c r="B165" s="33" t="s">
        <v>114</v>
      </c>
      <c r="C165" s="33"/>
      <c r="D165" s="41" t="s">
        <v>539</v>
      </c>
      <c r="E165" s="28"/>
      <c r="F165" s="28">
        <v>2814</v>
      </c>
      <c r="G165" s="35">
        <v>1000</v>
      </c>
      <c r="H165" s="35">
        <f t="shared" si="0"/>
        <v>150000</v>
      </c>
      <c r="I165" s="34">
        <v>44820</v>
      </c>
      <c r="J165" s="34">
        <v>44865</v>
      </c>
    </row>
    <row r="166" spans="1:10">
      <c r="A166" s="13" t="s">
        <v>392</v>
      </c>
      <c r="B166" s="33" t="s">
        <v>114</v>
      </c>
      <c r="C166" s="33"/>
      <c r="D166" s="13" t="s">
        <v>541</v>
      </c>
      <c r="E166" s="28"/>
      <c r="F166" s="28">
        <v>2814</v>
      </c>
      <c r="G166" s="35">
        <v>1000</v>
      </c>
      <c r="H166" s="35">
        <f t="shared" si="0"/>
        <v>150000</v>
      </c>
      <c r="I166" s="34">
        <v>44820</v>
      </c>
      <c r="J166" s="34">
        <v>44865</v>
      </c>
    </row>
    <row r="167" spans="1:10">
      <c r="A167" s="13" t="s">
        <v>392</v>
      </c>
      <c r="B167" s="33" t="s">
        <v>114</v>
      </c>
      <c r="C167" s="33"/>
      <c r="D167" s="41" t="s">
        <v>542</v>
      </c>
      <c r="E167" s="28"/>
      <c r="F167" s="28">
        <v>2814</v>
      </c>
      <c r="G167" s="35">
        <v>1000</v>
      </c>
      <c r="H167" s="35">
        <f t="shared" si="0"/>
        <v>150000</v>
      </c>
      <c r="I167" s="34">
        <v>44820</v>
      </c>
      <c r="J167" s="34">
        <v>44865</v>
      </c>
    </row>
    <row r="168" spans="1:10">
      <c r="A168" s="13" t="s">
        <v>392</v>
      </c>
      <c r="B168" s="33" t="s">
        <v>114</v>
      </c>
      <c r="C168" s="33"/>
      <c r="D168" s="41" t="s">
        <v>543</v>
      </c>
      <c r="E168" s="28"/>
      <c r="F168" s="28">
        <v>2814</v>
      </c>
      <c r="G168" s="35">
        <v>1000</v>
      </c>
      <c r="H168" s="35">
        <f t="shared" si="0"/>
        <v>150000</v>
      </c>
      <c r="I168" s="34">
        <v>44820</v>
      </c>
      <c r="J168" s="34">
        <v>44865</v>
      </c>
    </row>
    <row r="169" spans="1:10">
      <c r="A169" s="13" t="s">
        <v>392</v>
      </c>
      <c r="B169" s="33" t="s">
        <v>114</v>
      </c>
      <c r="C169" s="33"/>
      <c r="D169" s="41" t="s">
        <v>544</v>
      </c>
      <c r="E169" s="28"/>
      <c r="F169" s="28">
        <v>2814</v>
      </c>
      <c r="G169" s="35">
        <v>1000</v>
      </c>
      <c r="H169" s="35">
        <f t="shared" si="0"/>
        <v>150000</v>
      </c>
      <c r="I169" s="34">
        <v>44820</v>
      </c>
      <c r="J169" s="34">
        <v>44865</v>
      </c>
    </row>
    <row r="170" spans="1:10">
      <c r="A170" s="13" t="s">
        <v>392</v>
      </c>
      <c r="B170" s="33" t="s">
        <v>114</v>
      </c>
      <c r="C170" s="33"/>
      <c r="D170" s="41" t="s">
        <v>545</v>
      </c>
      <c r="E170" s="28"/>
      <c r="F170" s="28">
        <v>2814</v>
      </c>
      <c r="G170" s="35">
        <v>10000</v>
      </c>
      <c r="H170" s="35">
        <f t="shared" si="0"/>
        <v>1500000</v>
      </c>
      <c r="I170" s="34">
        <v>44820</v>
      </c>
      <c r="J170" s="34">
        <v>44865</v>
      </c>
    </row>
    <row r="171" spans="1:10">
      <c r="A171" s="13" t="s">
        <v>392</v>
      </c>
      <c r="B171" s="33" t="s">
        <v>114</v>
      </c>
      <c r="C171" s="33"/>
      <c r="D171" s="41" t="s">
        <v>546</v>
      </c>
      <c r="E171" s="28"/>
      <c r="F171" s="28">
        <v>2814</v>
      </c>
      <c r="G171" s="35">
        <v>10000</v>
      </c>
      <c r="H171" s="35">
        <f t="shared" si="0"/>
        <v>1500000</v>
      </c>
      <c r="I171" s="34">
        <v>44820</v>
      </c>
      <c r="J171" s="34">
        <v>44865</v>
      </c>
    </row>
    <row r="172" spans="1:10">
      <c r="A172" s="13" t="s">
        <v>392</v>
      </c>
      <c r="B172" s="33" t="s">
        <v>114</v>
      </c>
      <c r="C172" s="33"/>
      <c r="D172" s="41" t="s">
        <v>547</v>
      </c>
      <c r="E172" s="28"/>
      <c r="F172" s="28">
        <v>2814</v>
      </c>
      <c r="G172" s="35">
        <v>10000</v>
      </c>
      <c r="H172" s="35">
        <f t="shared" si="0"/>
        <v>1500000</v>
      </c>
      <c r="I172" s="34">
        <v>44820</v>
      </c>
      <c r="J172" s="34">
        <v>44865</v>
      </c>
    </row>
    <row r="173" spans="1:10">
      <c r="A173" s="13" t="s">
        <v>392</v>
      </c>
      <c r="B173" s="33" t="s">
        <v>114</v>
      </c>
      <c r="C173" s="33"/>
      <c r="D173" s="41" t="s">
        <v>548</v>
      </c>
      <c r="E173" s="28"/>
      <c r="F173" s="28">
        <v>2814</v>
      </c>
      <c r="G173" s="35">
        <v>10000</v>
      </c>
      <c r="H173" s="35">
        <f t="shared" si="0"/>
        <v>1500000</v>
      </c>
      <c r="I173" s="34">
        <v>44820</v>
      </c>
      <c r="J173" s="34">
        <v>44865</v>
      </c>
    </row>
    <row r="174" spans="1:10">
      <c r="A174" s="13" t="s">
        <v>392</v>
      </c>
      <c r="B174" s="33" t="s">
        <v>114</v>
      </c>
      <c r="C174" s="33"/>
      <c r="D174" s="41" t="s">
        <v>549</v>
      </c>
      <c r="E174" s="28"/>
      <c r="F174" s="28">
        <v>2814</v>
      </c>
      <c r="G174" s="35">
        <v>10000</v>
      </c>
      <c r="H174" s="35">
        <f t="shared" si="0"/>
        <v>1500000</v>
      </c>
      <c r="I174" s="34">
        <v>44820</v>
      </c>
      <c r="J174" s="34">
        <v>44865</v>
      </c>
    </row>
    <row r="175" spans="1:10">
      <c r="A175" s="13" t="s">
        <v>392</v>
      </c>
      <c r="B175" s="33" t="s">
        <v>114</v>
      </c>
      <c r="C175" s="33"/>
      <c r="D175" s="41" t="s">
        <v>550</v>
      </c>
      <c r="E175" s="28"/>
      <c r="F175" s="28">
        <v>2814</v>
      </c>
      <c r="G175" s="35">
        <v>10000</v>
      </c>
      <c r="H175" s="35">
        <f t="shared" si="0"/>
        <v>1500000</v>
      </c>
      <c r="I175" s="34">
        <v>44820</v>
      </c>
      <c r="J175" s="34">
        <v>44865</v>
      </c>
    </row>
    <row r="176" spans="1:10">
      <c r="A176" s="13" t="s">
        <v>392</v>
      </c>
      <c r="B176" s="33" t="s">
        <v>114</v>
      </c>
      <c r="C176" s="33"/>
      <c r="D176" s="41" t="s">
        <v>551</v>
      </c>
      <c r="E176" s="28"/>
      <c r="F176" s="28">
        <v>2814</v>
      </c>
      <c r="G176" s="35">
        <v>10000</v>
      </c>
      <c r="H176" s="35">
        <f t="shared" si="0"/>
        <v>1500000</v>
      </c>
      <c r="I176" s="34">
        <v>44820</v>
      </c>
      <c r="J176" s="34">
        <v>44865</v>
      </c>
    </row>
    <row r="177" spans="1:10">
      <c r="A177" s="13" t="s">
        <v>392</v>
      </c>
      <c r="B177" s="33" t="s">
        <v>114</v>
      </c>
      <c r="C177" s="33"/>
      <c r="D177" s="41" t="s">
        <v>552</v>
      </c>
      <c r="E177" s="28"/>
      <c r="F177" s="28">
        <v>2814</v>
      </c>
      <c r="G177" s="35">
        <v>10000</v>
      </c>
      <c r="H177" s="35">
        <f t="shared" si="0"/>
        <v>1500000</v>
      </c>
      <c r="I177" s="34">
        <v>44820</v>
      </c>
      <c r="J177" s="34">
        <v>44865</v>
      </c>
    </row>
    <row r="178" spans="1:10">
      <c r="A178" s="13" t="s">
        <v>392</v>
      </c>
      <c r="B178" s="33" t="s">
        <v>114</v>
      </c>
      <c r="C178" s="33"/>
      <c r="D178" s="41" t="s">
        <v>622</v>
      </c>
      <c r="E178" s="28"/>
      <c r="F178" s="28">
        <v>2923</v>
      </c>
      <c r="G178" s="35">
        <v>2000</v>
      </c>
      <c r="H178" s="35">
        <f t="shared" si="0"/>
        <v>300000</v>
      </c>
      <c r="I178" s="34">
        <v>44827</v>
      </c>
      <c r="J178" s="34">
        <v>44865</v>
      </c>
    </row>
    <row r="179" spans="1:10">
      <c r="A179" s="13" t="s">
        <v>392</v>
      </c>
      <c r="B179" s="33" t="s">
        <v>114</v>
      </c>
      <c r="C179" s="33"/>
      <c r="D179" s="41" t="s">
        <v>623</v>
      </c>
      <c r="E179" s="28"/>
      <c r="F179" s="28">
        <v>2823</v>
      </c>
      <c r="G179" s="35">
        <v>2500</v>
      </c>
      <c r="H179" s="35">
        <f t="shared" si="0"/>
        <v>375000</v>
      </c>
      <c r="I179" s="34">
        <v>44827</v>
      </c>
      <c r="J179" s="34">
        <v>44865</v>
      </c>
    </row>
    <row r="180" spans="1:10">
      <c r="A180" s="13" t="s">
        <v>392</v>
      </c>
      <c r="B180" s="33" t="s">
        <v>2</v>
      </c>
      <c r="C180" s="33"/>
      <c r="D180" s="13" t="s">
        <v>445</v>
      </c>
      <c r="E180" s="28"/>
      <c r="F180" s="28">
        <v>141</v>
      </c>
      <c r="G180" s="35">
        <v>94000</v>
      </c>
      <c r="H180" s="35">
        <f t="shared" si="0"/>
        <v>14100000</v>
      </c>
      <c r="I180" s="34">
        <v>44819</v>
      </c>
      <c r="J180" s="34">
        <v>44865</v>
      </c>
    </row>
    <row r="181" spans="1:10">
      <c r="A181" s="13" t="s">
        <v>392</v>
      </c>
      <c r="B181" s="33" t="s">
        <v>2</v>
      </c>
      <c r="C181" s="33"/>
      <c r="D181" s="13" t="s">
        <v>446</v>
      </c>
      <c r="E181" s="28"/>
      <c r="F181" s="28">
        <v>141</v>
      </c>
      <c r="G181" s="35">
        <v>90000</v>
      </c>
      <c r="H181" s="35">
        <f t="shared" si="0"/>
        <v>13500000</v>
      </c>
      <c r="I181" s="34">
        <v>44820</v>
      </c>
      <c r="J181" s="34">
        <v>44865</v>
      </c>
    </row>
    <row r="182" spans="1:10">
      <c r="A182" s="13" t="s">
        <v>392</v>
      </c>
      <c r="B182" s="33" t="s">
        <v>2</v>
      </c>
      <c r="C182" s="33"/>
      <c r="D182" s="13" t="s">
        <v>447</v>
      </c>
      <c r="E182" s="28"/>
      <c r="F182" s="28">
        <v>141</v>
      </c>
      <c r="G182" s="35">
        <v>4000</v>
      </c>
      <c r="H182" s="35">
        <f t="shared" si="0"/>
        <v>600000</v>
      </c>
      <c r="I182" s="34">
        <v>44820</v>
      </c>
      <c r="J182" s="34">
        <v>44865</v>
      </c>
    </row>
    <row r="183" spans="1:10">
      <c r="A183" s="13" t="s">
        <v>392</v>
      </c>
      <c r="B183" s="33" t="s">
        <v>2</v>
      </c>
      <c r="C183" s="33"/>
      <c r="D183" s="13" t="s">
        <v>448</v>
      </c>
      <c r="E183" s="28"/>
      <c r="F183" s="28">
        <v>141</v>
      </c>
      <c r="G183" s="35">
        <v>4000</v>
      </c>
      <c r="H183" s="35">
        <f t="shared" si="0"/>
        <v>600000</v>
      </c>
      <c r="I183" s="34">
        <v>44820</v>
      </c>
      <c r="J183" s="34">
        <v>44865</v>
      </c>
    </row>
    <row r="184" spans="1:10">
      <c r="A184" s="13" t="s">
        <v>392</v>
      </c>
      <c r="B184" s="33" t="s">
        <v>2</v>
      </c>
      <c r="C184" s="33"/>
      <c r="D184" s="13" t="s">
        <v>461</v>
      </c>
      <c r="E184" s="28"/>
      <c r="F184" s="28">
        <v>141</v>
      </c>
      <c r="G184" s="35">
        <v>90000</v>
      </c>
      <c r="H184" s="35">
        <f t="shared" si="0"/>
        <v>13500000</v>
      </c>
      <c r="I184" s="34">
        <v>44820</v>
      </c>
      <c r="J184" s="34">
        <v>44865</v>
      </c>
    </row>
    <row r="185" spans="1:10">
      <c r="A185" s="13" t="s">
        <v>392</v>
      </c>
      <c r="B185" s="33" t="s">
        <v>2</v>
      </c>
      <c r="C185" s="33"/>
      <c r="D185" s="13" t="s">
        <v>460</v>
      </c>
      <c r="E185" s="28"/>
      <c r="F185" s="28">
        <v>141</v>
      </c>
      <c r="G185" s="35">
        <v>4000</v>
      </c>
      <c r="H185" s="35">
        <f t="shared" si="0"/>
        <v>600000</v>
      </c>
      <c r="I185" s="34">
        <v>44820</v>
      </c>
      <c r="J185" s="34">
        <v>44865</v>
      </c>
    </row>
    <row r="186" spans="1:10">
      <c r="A186" s="13" t="s">
        <v>392</v>
      </c>
      <c r="B186" s="33" t="s">
        <v>2</v>
      </c>
      <c r="C186" s="33"/>
      <c r="D186" s="13" t="s">
        <v>449</v>
      </c>
      <c r="E186" s="28"/>
      <c r="F186" s="28">
        <v>141</v>
      </c>
      <c r="G186" s="35">
        <v>4000</v>
      </c>
      <c r="H186" s="35">
        <f t="shared" si="0"/>
        <v>600000</v>
      </c>
      <c r="I186" s="34">
        <v>44820</v>
      </c>
      <c r="J186" s="34">
        <v>44865</v>
      </c>
    </row>
    <row r="187" spans="1:10">
      <c r="A187" s="13" t="s">
        <v>392</v>
      </c>
      <c r="B187" s="33" t="s">
        <v>2</v>
      </c>
      <c r="C187" s="33"/>
      <c r="D187" s="13" t="s">
        <v>459</v>
      </c>
      <c r="E187" s="28"/>
      <c r="F187" s="28">
        <v>141</v>
      </c>
      <c r="G187" s="35">
        <v>80000</v>
      </c>
      <c r="H187" s="35">
        <f t="shared" si="0"/>
        <v>12000000</v>
      </c>
      <c r="I187" s="34">
        <v>44820</v>
      </c>
      <c r="J187" s="34">
        <v>44865</v>
      </c>
    </row>
    <row r="188" spans="1:10">
      <c r="A188" s="13" t="s">
        <v>392</v>
      </c>
      <c r="B188" s="33" t="s">
        <v>2</v>
      </c>
      <c r="C188" s="33"/>
      <c r="D188" s="13" t="s">
        <v>458</v>
      </c>
      <c r="E188" s="28"/>
      <c r="F188" s="28">
        <v>141</v>
      </c>
      <c r="G188" s="35">
        <v>14000</v>
      </c>
      <c r="H188" s="35">
        <f t="shared" si="0"/>
        <v>2100000</v>
      </c>
      <c r="I188" s="34">
        <v>44820</v>
      </c>
      <c r="J188" s="34">
        <v>44865</v>
      </c>
    </row>
    <row r="189" spans="1:10">
      <c r="A189" s="13" t="s">
        <v>392</v>
      </c>
      <c r="B189" s="33" t="s">
        <v>2</v>
      </c>
      <c r="C189" s="33"/>
      <c r="D189" s="13" t="s">
        <v>457</v>
      </c>
      <c r="E189" s="28"/>
      <c r="F189" s="28">
        <v>141</v>
      </c>
      <c r="G189" s="35">
        <v>14000</v>
      </c>
      <c r="H189" s="35">
        <f t="shared" si="0"/>
        <v>2100000</v>
      </c>
      <c r="I189" s="34">
        <v>44820</v>
      </c>
      <c r="J189" s="34">
        <v>44865</v>
      </c>
    </row>
    <row r="190" spans="1:10">
      <c r="A190" s="13" t="s">
        <v>392</v>
      </c>
      <c r="B190" s="33" t="s">
        <v>2</v>
      </c>
      <c r="C190" s="33"/>
      <c r="D190" s="13" t="s">
        <v>456</v>
      </c>
      <c r="E190" s="28"/>
      <c r="F190" s="28">
        <v>141</v>
      </c>
      <c r="G190" s="35">
        <v>14000</v>
      </c>
      <c r="H190" s="35">
        <f t="shared" si="0"/>
        <v>2100000</v>
      </c>
      <c r="I190" s="34">
        <v>44820</v>
      </c>
      <c r="J190" s="34">
        <v>44865</v>
      </c>
    </row>
    <row r="191" spans="1:10">
      <c r="A191" s="13" t="s">
        <v>392</v>
      </c>
      <c r="B191" s="33" t="s">
        <v>2</v>
      </c>
      <c r="C191" s="33"/>
      <c r="D191" s="13" t="s">
        <v>455</v>
      </c>
      <c r="E191" s="28"/>
      <c r="F191" s="28">
        <v>141</v>
      </c>
      <c r="G191" s="35">
        <v>14000</v>
      </c>
      <c r="H191" s="35">
        <f t="shared" si="0"/>
        <v>2100000</v>
      </c>
      <c r="I191" s="34">
        <v>44820</v>
      </c>
      <c r="J191" s="34">
        <v>44865</v>
      </c>
    </row>
    <row r="192" spans="1:10">
      <c r="A192" s="13" t="s">
        <v>392</v>
      </c>
      <c r="B192" s="33" t="s">
        <v>2</v>
      </c>
      <c r="C192" s="33"/>
      <c r="D192" s="13" t="s">
        <v>454</v>
      </c>
      <c r="E192" s="28"/>
      <c r="F192" s="28">
        <v>141</v>
      </c>
      <c r="G192" s="35">
        <v>14000</v>
      </c>
      <c r="H192" s="35">
        <f t="shared" si="0"/>
        <v>2100000</v>
      </c>
      <c r="I192" s="34">
        <v>44820</v>
      </c>
      <c r="J192" s="34">
        <v>44865</v>
      </c>
    </row>
    <row r="193" spans="1:10">
      <c r="A193" s="13" t="s">
        <v>392</v>
      </c>
      <c r="B193" s="33" t="s">
        <v>2</v>
      </c>
      <c r="C193" s="33"/>
      <c r="D193" s="13" t="s">
        <v>453</v>
      </c>
      <c r="E193" s="28"/>
      <c r="F193" s="28">
        <v>141</v>
      </c>
      <c r="G193" s="35">
        <v>4000</v>
      </c>
      <c r="H193" s="35">
        <f t="shared" si="0"/>
        <v>600000</v>
      </c>
      <c r="I193" s="34">
        <v>44820</v>
      </c>
      <c r="J193" s="34">
        <v>44865</v>
      </c>
    </row>
    <row r="194" spans="1:10">
      <c r="A194" s="13" t="s">
        <v>392</v>
      </c>
      <c r="B194" s="33" t="s">
        <v>2</v>
      </c>
      <c r="C194" s="33"/>
      <c r="D194" s="13" t="s">
        <v>451</v>
      </c>
      <c r="E194" s="28"/>
      <c r="F194" s="28">
        <v>141</v>
      </c>
      <c r="G194" s="35">
        <v>4000</v>
      </c>
      <c r="H194" s="35">
        <f t="shared" si="0"/>
        <v>600000</v>
      </c>
      <c r="I194" s="34">
        <v>44820</v>
      </c>
      <c r="J194" s="34">
        <v>44865</v>
      </c>
    </row>
    <row r="195" spans="1:10">
      <c r="A195" s="13" t="s">
        <v>392</v>
      </c>
      <c r="B195" s="33" t="s">
        <v>2</v>
      </c>
      <c r="C195" s="33"/>
      <c r="D195" s="13" t="s">
        <v>452</v>
      </c>
      <c r="E195" s="28"/>
      <c r="F195" s="28">
        <v>141</v>
      </c>
      <c r="G195" s="35">
        <v>4000</v>
      </c>
      <c r="H195" s="35">
        <f t="shared" si="0"/>
        <v>600000</v>
      </c>
      <c r="I195" s="34">
        <v>44820</v>
      </c>
      <c r="J195" s="34">
        <v>44865</v>
      </c>
    </row>
    <row r="196" spans="1:10">
      <c r="A196" s="13" t="s">
        <v>392</v>
      </c>
      <c r="B196" s="33" t="s">
        <v>2</v>
      </c>
      <c r="C196" s="33"/>
      <c r="D196" s="13" t="s">
        <v>450</v>
      </c>
      <c r="E196" s="28"/>
      <c r="F196" s="28">
        <v>141</v>
      </c>
      <c r="G196" s="35">
        <v>4000</v>
      </c>
      <c r="H196" s="35">
        <f t="shared" si="0"/>
        <v>600000</v>
      </c>
      <c r="I196" s="34">
        <v>44820</v>
      </c>
      <c r="J196" s="34">
        <v>44865</v>
      </c>
    </row>
    <row r="197" spans="1:10">
      <c r="A197" s="13" t="s">
        <v>392</v>
      </c>
      <c r="B197" s="33" t="s">
        <v>2</v>
      </c>
      <c r="C197" s="33"/>
      <c r="D197" s="13" t="s">
        <v>462</v>
      </c>
      <c r="E197" s="28"/>
      <c r="F197" s="28">
        <v>141</v>
      </c>
      <c r="G197" s="35">
        <v>4000</v>
      </c>
      <c r="H197" s="35">
        <f t="shared" si="0"/>
        <v>600000</v>
      </c>
      <c r="I197" s="34">
        <v>44820</v>
      </c>
      <c r="J197" s="34">
        <v>44865</v>
      </c>
    </row>
    <row r="198" spans="1:10">
      <c r="A198" s="13" t="s">
        <v>392</v>
      </c>
      <c r="B198" s="33" t="s">
        <v>2</v>
      </c>
      <c r="C198" s="33"/>
      <c r="D198" s="13" t="s">
        <v>463</v>
      </c>
      <c r="E198" s="28"/>
      <c r="F198" s="28">
        <v>141</v>
      </c>
      <c r="G198" s="35">
        <v>4000</v>
      </c>
      <c r="H198" s="35">
        <f t="shared" si="0"/>
        <v>600000</v>
      </c>
      <c r="I198" s="34">
        <v>44820</v>
      </c>
      <c r="J198" s="34">
        <v>44865</v>
      </c>
    </row>
    <row r="199" spans="1:10">
      <c r="A199" s="13" t="s">
        <v>392</v>
      </c>
      <c r="B199" s="33" t="s">
        <v>2</v>
      </c>
      <c r="C199" s="33"/>
      <c r="D199" s="13" t="s">
        <v>464</v>
      </c>
      <c r="E199" s="28"/>
      <c r="F199" s="28">
        <v>141</v>
      </c>
      <c r="G199" s="35">
        <v>4000</v>
      </c>
      <c r="H199" s="35">
        <f t="shared" si="0"/>
        <v>600000</v>
      </c>
      <c r="I199" s="34">
        <v>44820</v>
      </c>
      <c r="J199" s="34">
        <v>44865</v>
      </c>
    </row>
    <row r="200" spans="1:10">
      <c r="A200" s="13" t="s">
        <v>392</v>
      </c>
      <c r="B200" s="33" t="s">
        <v>2</v>
      </c>
      <c r="C200" s="33"/>
      <c r="D200" s="13" t="s">
        <v>465</v>
      </c>
      <c r="E200" s="28"/>
      <c r="F200" s="28">
        <v>141</v>
      </c>
      <c r="G200" s="35">
        <v>4000</v>
      </c>
      <c r="H200" s="35">
        <f t="shared" si="0"/>
        <v>600000</v>
      </c>
      <c r="I200" s="34">
        <v>44820</v>
      </c>
      <c r="J200" s="34">
        <v>44865</v>
      </c>
    </row>
    <row r="201" spans="1:10">
      <c r="A201" s="13" t="s">
        <v>392</v>
      </c>
      <c r="B201" s="33" t="s">
        <v>2</v>
      </c>
      <c r="C201" s="33"/>
      <c r="D201" s="13" t="s">
        <v>466</v>
      </c>
      <c r="E201" s="28"/>
      <c r="F201" s="28">
        <v>141</v>
      </c>
      <c r="G201" s="35">
        <v>4000</v>
      </c>
      <c r="H201" s="35">
        <f t="shared" si="0"/>
        <v>600000</v>
      </c>
      <c r="I201" s="34">
        <v>44820</v>
      </c>
      <c r="J201" s="34">
        <v>44865</v>
      </c>
    </row>
    <row r="202" spans="1:10">
      <c r="A202" s="13" t="s">
        <v>392</v>
      </c>
      <c r="B202" s="33" t="s">
        <v>2</v>
      </c>
      <c r="C202" s="33"/>
      <c r="D202" s="13" t="s">
        <v>467</v>
      </c>
      <c r="E202" s="28"/>
      <c r="F202" s="28">
        <v>141</v>
      </c>
      <c r="G202" s="35">
        <v>4000</v>
      </c>
      <c r="H202" s="35">
        <f t="shared" si="0"/>
        <v>600000</v>
      </c>
      <c r="I202" s="34">
        <v>44820</v>
      </c>
      <c r="J202" s="34">
        <v>44865</v>
      </c>
    </row>
    <row r="203" spans="1:10">
      <c r="A203" s="13" t="s">
        <v>392</v>
      </c>
      <c r="B203" s="33" t="s">
        <v>2</v>
      </c>
      <c r="C203" s="33"/>
      <c r="D203" s="13" t="s">
        <v>468</v>
      </c>
      <c r="E203" s="28"/>
      <c r="F203" s="28">
        <v>141</v>
      </c>
      <c r="G203" s="35">
        <v>4000</v>
      </c>
      <c r="H203" s="35">
        <f t="shared" si="0"/>
        <v>600000</v>
      </c>
      <c r="I203" s="34">
        <v>44820</v>
      </c>
      <c r="J203" s="34">
        <v>44865</v>
      </c>
    </row>
    <row r="204" spans="1:10">
      <c r="A204" s="13" t="s">
        <v>392</v>
      </c>
      <c r="B204" s="33" t="s">
        <v>2</v>
      </c>
      <c r="C204" s="33"/>
      <c r="D204" s="13" t="s">
        <v>469</v>
      </c>
      <c r="E204" s="28"/>
      <c r="F204" s="28">
        <v>141</v>
      </c>
      <c r="G204" s="35">
        <v>20000</v>
      </c>
      <c r="H204" s="35">
        <f t="shared" si="0"/>
        <v>3000000</v>
      </c>
      <c r="I204" s="34">
        <v>44820</v>
      </c>
      <c r="J204" s="34">
        <v>44865</v>
      </c>
    </row>
    <row r="205" spans="1:10">
      <c r="A205" s="13" t="s">
        <v>392</v>
      </c>
      <c r="B205" s="33" t="s">
        <v>2</v>
      </c>
      <c r="C205" s="33"/>
      <c r="D205" s="13" t="s">
        <v>470</v>
      </c>
      <c r="E205" s="28"/>
      <c r="F205" s="28">
        <v>141</v>
      </c>
      <c r="G205" s="35">
        <v>4000</v>
      </c>
      <c r="H205" s="35">
        <f t="shared" si="0"/>
        <v>600000</v>
      </c>
      <c r="I205" s="34">
        <v>44820</v>
      </c>
      <c r="J205" s="34">
        <v>44865</v>
      </c>
    </row>
    <row r="206" spans="1:10">
      <c r="A206" s="13" t="s">
        <v>392</v>
      </c>
      <c r="B206" s="33" t="s">
        <v>2</v>
      </c>
      <c r="C206" s="33"/>
      <c r="D206" s="13" t="s">
        <v>471</v>
      </c>
      <c r="E206" s="28"/>
      <c r="F206" s="28">
        <v>141</v>
      </c>
      <c r="G206" s="35">
        <v>4000</v>
      </c>
      <c r="H206" s="35">
        <f t="shared" si="0"/>
        <v>600000</v>
      </c>
      <c r="I206" s="34">
        <v>44820</v>
      </c>
      <c r="J206" s="34">
        <v>44865</v>
      </c>
    </row>
    <row r="207" spans="1:10">
      <c r="A207" s="13" t="s">
        <v>392</v>
      </c>
      <c r="B207" s="33" t="s">
        <v>2</v>
      </c>
      <c r="C207" s="33"/>
      <c r="D207" s="13" t="s">
        <v>472</v>
      </c>
      <c r="E207" s="28"/>
      <c r="F207" s="28">
        <v>141</v>
      </c>
      <c r="G207" s="35">
        <v>4000</v>
      </c>
      <c r="H207" s="35">
        <f t="shared" si="0"/>
        <v>600000</v>
      </c>
      <c r="I207" s="34">
        <v>44820</v>
      </c>
      <c r="J207" s="34">
        <v>44865</v>
      </c>
    </row>
    <row r="208" spans="1:10">
      <c r="A208" s="13" t="s">
        <v>392</v>
      </c>
      <c r="B208" s="33" t="s">
        <v>2</v>
      </c>
      <c r="C208" s="33"/>
      <c r="D208" s="13" t="s">
        <v>473</v>
      </c>
      <c r="E208" s="28"/>
      <c r="F208" s="28">
        <v>141</v>
      </c>
      <c r="G208" s="35">
        <v>4000</v>
      </c>
      <c r="H208" s="35">
        <f t="shared" si="0"/>
        <v>600000</v>
      </c>
      <c r="I208" s="34">
        <v>44820</v>
      </c>
      <c r="J208" s="34">
        <v>44865</v>
      </c>
    </row>
    <row r="209" spans="1:10">
      <c r="A209" s="13" t="s">
        <v>392</v>
      </c>
      <c r="B209" s="33" t="s">
        <v>2</v>
      </c>
      <c r="C209" s="33"/>
      <c r="D209" s="13" t="s">
        <v>474</v>
      </c>
      <c r="E209" s="28"/>
      <c r="F209" s="28">
        <v>141</v>
      </c>
      <c r="G209" s="35">
        <v>20000</v>
      </c>
      <c r="H209" s="35">
        <f t="shared" si="0"/>
        <v>3000000</v>
      </c>
      <c r="I209" s="34">
        <v>44820</v>
      </c>
      <c r="J209" s="34">
        <v>44865</v>
      </c>
    </row>
    <row r="210" spans="1:10">
      <c r="A210" s="13" t="s">
        <v>392</v>
      </c>
      <c r="B210" s="33" t="s">
        <v>2</v>
      </c>
      <c r="C210" s="33"/>
      <c r="D210" s="13" t="s">
        <v>475</v>
      </c>
      <c r="E210" s="28"/>
      <c r="F210" s="28">
        <v>141</v>
      </c>
      <c r="G210" s="35">
        <v>4000</v>
      </c>
      <c r="H210" s="35">
        <f t="shared" si="0"/>
        <v>600000</v>
      </c>
      <c r="I210" s="34">
        <v>44820</v>
      </c>
      <c r="J210" s="34">
        <v>44865</v>
      </c>
    </row>
    <row r="211" spans="1:10">
      <c r="A211" s="13" t="s">
        <v>392</v>
      </c>
      <c r="B211" s="33" t="s">
        <v>2</v>
      </c>
      <c r="C211" s="33"/>
      <c r="D211" s="43" t="s">
        <v>614</v>
      </c>
      <c r="E211" s="28"/>
      <c r="F211" s="28">
        <v>2722</v>
      </c>
      <c r="G211" s="35">
        <v>4000</v>
      </c>
      <c r="H211" s="35">
        <f t="shared" si="0"/>
        <v>600000</v>
      </c>
      <c r="I211" s="34">
        <v>44823</v>
      </c>
      <c r="J211" s="34">
        <v>44865</v>
      </c>
    </row>
    <row r="212" spans="1:10">
      <c r="A212" s="13" t="s">
        <v>392</v>
      </c>
      <c r="B212" s="33" t="s">
        <v>2</v>
      </c>
      <c r="C212" s="33"/>
      <c r="D212" s="43" t="s">
        <v>615</v>
      </c>
      <c r="E212" s="28"/>
      <c r="F212" s="28">
        <v>2722</v>
      </c>
      <c r="G212" s="35">
        <v>1000</v>
      </c>
      <c r="H212" s="35">
        <f t="shared" si="0"/>
        <v>150000</v>
      </c>
      <c r="I212" s="34">
        <v>44823</v>
      </c>
      <c r="J212" s="34">
        <v>44865</v>
      </c>
    </row>
    <row r="213" spans="1:10">
      <c r="A213" s="13" t="s">
        <v>392</v>
      </c>
      <c r="B213" s="33" t="s">
        <v>2</v>
      </c>
      <c r="C213" s="33"/>
      <c r="D213" s="43" t="s">
        <v>616</v>
      </c>
      <c r="E213" s="28"/>
      <c r="F213" s="28">
        <v>2722</v>
      </c>
      <c r="G213" s="35">
        <v>1000</v>
      </c>
      <c r="H213" s="35">
        <f t="shared" si="0"/>
        <v>150000</v>
      </c>
      <c r="I213" s="34">
        <v>44823</v>
      </c>
      <c r="J213" s="34">
        <v>44865</v>
      </c>
    </row>
    <row r="214" spans="1:10">
      <c r="A214" s="13" t="s">
        <v>392</v>
      </c>
      <c r="B214" s="33" t="s">
        <v>2</v>
      </c>
      <c r="C214" s="33"/>
      <c r="D214" s="43" t="s">
        <v>620</v>
      </c>
      <c r="E214" s="28"/>
      <c r="F214" s="28">
        <v>2726</v>
      </c>
      <c r="G214" s="35">
        <v>9500</v>
      </c>
      <c r="H214" s="35">
        <f t="shared" si="0"/>
        <v>1425000</v>
      </c>
      <c r="I214" s="34">
        <v>44827</v>
      </c>
      <c r="J214" s="34">
        <v>44830</v>
      </c>
    </row>
    <row r="215" spans="1:10">
      <c r="A215" s="13" t="s">
        <v>392</v>
      </c>
      <c r="B215" s="33" t="s">
        <v>2</v>
      </c>
      <c r="C215" s="33"/>
      <c r="D215" s="43" t="s">
        <v>621</v>
      </c>
      <c r="E215" s="28"/>
      <c r="F215" s="28">
        <v>2726</v>
      </c>
      <c r="G215" s="35">
        <v>500</v>
      </c>
      <c r="H215" s="35">
        <f t="shared" si="0"/>
        <v>75000</v>
      </c>
      <c r="I215" s="34">
        <v>44827</v>
      </c>
      <c r="J215" s="34">
        <v>44830</v>
      </c>
    </row>
    <row r="216" spans="1:10">
      <c r="A216" s="13" t="s">
        <v>392</v>
      </c>
      <c r="B216" s="33" t="s">
        <v>2</v>
      </c>
      <c r="C216" s="33"/>
      <c r="D216" s="43" t="s">
        <v>624</v>
      </c>
      <c r="E216" s="28"/>
      <c r="F216" s="28">
        <v>2735</v>
      </c>
      <c r="G216" s="35">
        <v>6000</v>
      </c>
      <c r="H216" s="35">
        <f>G216*153</f>
        <v>918000</v>
      </c>
      <c r="I216" s="34">
        <v>44835</v>
      </c>
      <c r="J216" s="34">
        <v>44839</v>
      </c>
    </row>
    <row r="217" spans="1:10">
      <c r="A217" s="13" t="s">
        <v>392</v>
      </c>
      <c r="B217" s="33" t="s">
        <v>2</v>
      </c>
      <c r="C217" s="33"/>
      <c r="D217" s="43" t="s">
        <v>625</v>
      </c>
      <c r="E217" s="28"/>
      <c r="F217" s="28">
        <v>2735</v>
      </c>
      <c r="G217" s="35">
        <v>1000</v>
      </c>
      <c r="H217" s="35">
        <f t="shared" ref="H217:H224" si="2">G217*153</f>
        <v>153000</v>
      </c>
      <c r="I217" s="34">
        <v>44835</v>
      </c>
      <c r="J217" s="34">
        <v>44839</v>
      </c>
    </row>
    <row r="218" spans="1:10">
      <c r="A218" s="13" t="s">
        <v>392</v>
      </c>
      <c r="B218" s="33" t="s">
        <v>2</v>
      </c>
      <c r="C218" s="33"/>
      <c r="D218" s="43" t="s">
        <v>626</v>
      </c>
      <c r="E218" s="28"/>
      <c r="F218" s="28">
        <v>2735</v>
      </c>
      <c r="G218" s="35">
        <v>1000</v>
      </c>
      <c r="H218" s="35">
        <f t="shared" si="2"/>
        <v>153000</v>
      </c>
      <c r="I218" s="34">
        <v>44835</v>
      </c>
      <c r="J218" s="34">
        <v>44839</v>
      </c>
    </row>
    <row r="219" spans="1:10">
      <c r="A219" s="13" t="s">
        <v>392</v>
      </c>
      <c r="B219" s="33" t="s">
        <v>2</v>
      </c>
      <c r="C219" s="33"/>
      <c r="D219" s="43" t="s">
        <v>627</v>
      </c>
      <c r="E219" s="28"/>
      <c r="F219" s="28">
        <v>2735</v>
      </c>
      <c r="G219" s="35">
        <v>1000</v>
      </c>
      <c r="H219" s="35">
        <f t="shared" si="2"/>
        <v>153000</v>
      </c>
      <c r="I219" s="34">
        <v>44835</v>
      </c>
      <c r="J219" s="34">
        <v>44839</v>
      </c>
    </row>
    <row r="220" spans="1:10">
      <c r="A220" s="13" t="s">
        <v>392</v>
      </c>
      <c r="B220" s="33" t="s">
        <v>2</v>
      </c>
      <c r="C220" s="33"/>
      <c r="D220" s="43" t="s">
        <v>628</v>
      </c>
      <c r="E220" s="28"/>
      <c r="F220" s="28">
        <v>2735</v>
      </c>
      <c r="G220" s="35">
        <v>1000</v>
      </c>
      <c r="H220" s="35">
        <f t="shared" si="2"/>
        <v>153000</v>
      </c>
      <c r="I220" s="34">
        <v>44835</v>
      </c>
      <c r="J220" s="34">
        <v>44839</v>
      </c>
    </row>
    <row r="221" spans="1:10">
      <c r="A221" s="13" t="s">
        <v>392</v>
      </c>
      <c r="B221" s="33" t="s">
        <v>2</v>
      </c>
      <c r="C221" s="33"/>
      <c r="D221" s="43" t="s">
        <v>632</v>
      </c>
      <c r="E221" s="28"/>
      <c r="F221" s="28">
        <v>2736</v>
      </c>
      <c r="G221" s="35">
        <v>17000</v>
      </c>
      <c r="H221" s="35">
        <f>G221*153</f>
        <v>2601000</v>
      </c>
      <c r="I221" s="34">
        <v>44838</v>
      </c>
      <c r="J221" s="34">
        <v>44865</v>
      </c>
    </row>
    <row r="222" spans="1:10">
      <c r="A222" s="13" t="s">
        <v>392</v>
      </c>
      <c r="B222" s="33" t="s">
        <v>2</v>
      </c>
      <c r="C222" s="33"/>
      <c r="D222" s="43" t="s">
        <v>633</v>
      </c>
      <c r="E222" s="28"/>
      <c r="F222" s="28">
        <v>2736</v>
      </c>
      <c r="G222" s="35">
        <v>1000</v>
      </c>
      <c r="H222" s="35">
        <f>G222*153</f>
        <v>153000</v>
      </c>
      <c r="I222" s="34">
        <v>44838</v>
      </c>
      <c r="J222" s="34">
        <v>44865</v>
      </c>
    </row>
    <row r="223" spans="1:10">
      <c r="A223" s="13" t="s">
        <v>392</v>
      </c>
      <c r="B223" s="33" t="s">
        <v>2</v>
      </c>
      <c r="C223" s="33"/>
      <c r="D223" s="43" t="s">
        <v>634</v>
      </c>
      <c r="E223" s="28"/>
      <c r="F223" s="28">
        <v>2736</v>
      </c>
      <c r="G223" s="35">
        <v>1000</v>
      </c>
      <c r="H223" s="35">
        <f t="shared" si="2"/>
        <v>153000</v>
      </c>
      <c r="I223" s="34">
        <v>44838</v>
      </c>
      <c r="J223" s="34">
        <v>44865</v>
      </c>
    </row>
    <row r="224" spans="1:10">
      <c r="A224" s="13" t="s">
        <v>392</v>
      </c>
      <c r="B224" s="33" t="s">
        <v>2</v>
      </c>
      <c r="C224" s="33"/>
      <c r="D224" s="43" t="s">
        <v>635</v>
      </c>
      <c r="E224" s="28"/>
      <c r="F224" s="28">
        <v>2736</v>
      </c>
      <c r="G224" s="35">
        <v>1000</v>
      </c>
      <c r="H224" s="35">
        <f t="shared" si="2"/>
        <v>153000</v>
      </c>
      <c r="I224" s="34">
        <v>44838</v>
      </c>
      <c r="J224" s="34">
        <v>44865</v>
      </c>
    </row>
    <row r="225" spans="1:10">
      <c r="A225" s="13" t="s">
        <v>392</v>
      </c>
      <c r="B225" s="33" t="s">
        <v>0</v>
      </c>
      <c r="C225" s="33"/>
      <c r="D225" s="42" t="s">
        <v>515</v>
      </c>
      <c r="E225" s="28"/>
      <c r="F225" s="28">
        <v>2230</v>
      </c>
      <c r="G225" s="35">
        <v>30000</v>
      </c>
      <c r="H225" s="35">
        <f t="shared" si="0"/>
        <v>4500000</v>
      </c>
      <c r="I225" s="34">
        <v>44819</v>
      </c>
      <c r="J225" s="34">
        <v>44865</v>
      </c>
    </row>
    <row r="226" spans="1:10">
      <c r="A226" s="13" t="s">
        <v>392</v>
      </c>
      <c r="B226" s="33" t="s">
        <v>0</v>
      </c>
      <c r="C226" s="33"/>
      <c r="D226" s="41" t="s">
        <v>517</v>
      </c>
      <c r="E226" s="28"/>
      <c r="F226" s="28">
        <v>2230</v>
      </c>
      <c r="G226" s="35">
        <v>25000</v>
      </c>
      <c r="H226" s="35">
        <f t="shared" si="0"/>
        <v>3750000</v>
      </c>
      <c r="I226" s="34">
        <v>44820</v>
      </c>
      <c r="J226" s="34">
        <v>44865</v>
      </c>
    </row>
    <row r="227" spans="1:10">
      <c r="A227" s="13" t="s">
        <v>392</v>
      </c>
      <c r="B227" s="33" t="s">
        <v>0</v>
      </c>
      <c r="C227" s="33"/>
      <c r="D227" s="41" t="s">
        <v>518</v>
      </c>
      <c r="E227" s="28"/>
      <c r="F227" s="28">
        <v>2230</v>
      </c>
      <c r="G227" s="35">
        <v>25000</v>
      </c>
      <c r="H227" s="35">
        <f t="shared" si="0"/>
        <v>3750000</v>
      </c>
      <c r="I227" s="34">
        <v>44820</v>
      </c>
      <c r="J227" s="34">
        <v>44865</v>
      </c>
    </row>
    <row r="228" spans="1:10">
      <c r="A228" s="13" t="s">
        <v>392</v>
      </c>
      <c r="B228" s="33" t="s">
        <v>0</v>
      </c>
      <c r="C228" s="33"/>
      <c r="D228" s="41" t="s">
        <v>519</v>
      </c>
      <c r="E228" s="28"/>
      <c r="F228" s="28">
        <v>2230</v>
      </c>
      <c r="G228" s="35">
        <v>20000</v>
      </c>
      <c r="H228" s="35">
        <f t="shared" si="0"/>
        <v>3000000</v>
      </c>
      <c r="I228" s="34">
        <v>44820</v>
      </c>
      <c r="J228" s="34">
        <v>44865</v>
      </c>
    </row>
    <row r="229" spans="1:10">
      <c r="A229" s="13" t="s">
        <v>392</v>
      </c>
      <c r="B229" s="33" t="s">
        <v>0</v>
      </c>
      <c r="C229" s="33"/>
      <c r="D229" s="41" t="s">
        <v>520</v>
      </c>
      <c r="E229" s="28"/>
      <c r="F229" s="28">
        <v>2230</v>
      </c>
      <c r="G229" s="35">
        <v>20000</v>
      </c>
      <c r="H229" s="35">
        <f t="shared" si="0"/>
        <v>3000000</v>
      </c>
      <c r="I229" s="34">
        <v>44820</v>
      </c>
      <c r="J229" s="34">
        <v>44865</v>
      </c>
    </row>
    <row r="230" spans="1:10">
      <c r="A230" s="13" t="s">
        <v>392</v>
      </c>
      <c r="B230" s="33" t="s">
        <v>0</v>
      </c>
      <c r="C230" s="33"/>
      <c r="D230" s="41" t="s">
        <v>516</v>
      </c>
      <c r="E230" s="28"/>
      <c r="F230" s="28">
        <v>2230</v>
      </c>
      <c r="G230" s="35">
        <v>5000</v>
      </c>
      <c r="H230" s="35">
        <f t="shared" si="0"/>
        <v>750000</v>
      </c>
      <c r="I230" s="34">
        <v>44820</v>
      </c>
      <c r="J230" s="34">
        <v>44865</v>
      </c>
    </row>
    <row r="231" spans="1:10">
      <c r="A231" s="13" t="s">
        <v>392</v>
      </c>
      <c r="B231" s="33" t="s">
        <v>0</v>
      </c>
      <c r="C231" s="33"/>
      <c r="D231" s="41" t="s">
        <v>521</v>
      </c>
      <c r="E231" s="28"/>
      <c r="F231" s="28">
        <v>2230</v>
      </c>
      <c r="G231" s="35">
        <v>5000</v>
      </c>
      <c r="H231" s="35">
        <f t="shared" si="0"/>
        <v>750000</v>
      </c>
      <c r="I231" s="34">
        <v>44820</v>
      </c>
      <c r="J231" s="34">
        <v>44865</v>
      </c>
    </row>
    <row r="232" spans="1:10">
      <c r="A232" s="13" t="s">
        <v>392</v>
      </c>
      <c r="B232" s="33" t="s">
        <v>0</v>
      </c>
      <c r="C232" s="33"/>
      <c r="D232" s="41" t="s">
        <v>522</v>
      </c>
      <c r="E232" s="28"/>
      <c r="F232" s="28">
        <v>2230</v>
      </c>
      <c r="G232" s="35">
        <v>5000</v>
      </c>
      <c r="H232" s="35">
        <f t="shared" si="0"/>
        <v>750000</v>
      </c>
      <c r="I232" s="34">
        <v>44820</v>
      </c>
      <c r="J232" s="34">
        <v>44865</v>
      </c>
    </row>
    <row r="233" spans="1:10">
      <c r="A233" s="13" t="s">
        <v>392</v>
      </c>
      <c r="B233" s="33" t="s">
        <v>0</v>
      </c>
      <c r="C233" s="33"/>
      <c r="D233" s="41" t="s">
        <v>523</v>
      </c>
      <c r="E233" s="28"/>
      <c r="F233" s="28">
        <v>2230</v>
      </c>
      <c r="G233" s="35">
        <v>5000</v>
      </c>
      <c r="H233" s="35">
        <f t="shared" si="0"/>
        <v>750000</v>
      </c>
      <c r="I233" s="34">
        <v>44820</v>
      </c>
      <c r="J233" s="34">
        <v>44865</v>
      </c>
    </row>
    <row r="234" spans="1:10">
      <c r="A234" s="13" t="s">
        <v>392</v>
      </c>
      <c r="B234" s="33" t="s">
        <v>0</v>
      </c>
      <c r="C234" s="33"/>
      <c r="D234" s="41" t="s">
        <v>524</v>
      </c>
      <c r="E234" s="28"/>
      <c r="F234" s="28">
        <v>2230</v>
      </c>
      <c r="G234" s="35">
        <v>5000</v>
      </c>
      <c r="H234" s="35">
        <f t="shared" si="0"/>
        <v>750000</v>
      </c>
      <c r="I234" s="34">
        <v>44820</v>
      </c>
      <c r="J234" s="34">
        <v>44865</v>
      </c>
    </row>
    <row r="235" spans="1:10">
      <c r="A235" s="13" t="s">
        <v>392</v>
      </c>
      <c r="B235" s="33" t="s">
        <v>0</v>
      </c>
      <c r="C235" s="33"/>
      <c r="D235" s="41" t="s">
        <v>525</v>
      </c>
      <c r="E235" s="28"/>
      <c r="F235" s="28">
        <v>2230</v>
      </c>
      <c r="G235" s="35">
        <v>5000</v>
      </c>
      <c r="H235" s="35">
        <f t="shared" si="0"/>
        <v>750000</v>
      </c>
      <c r="I235" s="34">
        <v>44820</v>
      </c>
      <c r="J235" s="34">
        <v>44865</v>
      </c>
    </row>
    <row r="236" spans="1:10">
      <c r="A236" s="13" t="s">
        <v>393</v>
      </c>
      <c r="B236" s="13" t="s">
        <v>356</v>
      </c>
      <c r="C236" s="7" t="s">
        <v>115</v>
      </c>
      <c r="D236" s="21" t="s">
        <v>357</v>
      </c>
      <c r="E236" s="7">
        <v>8439909</v>
      </c>
      <c r="F236" s="21"/>
      <c r="G236" s="35">
        <v>1500</v>
      </c>
      <c r="H236" s="35">
        <f t="shared" si="0"/>
        <v>225000</v>
      </c>
      <c r="I236" s="34">
        <v>44819</v>
      </c>
      <c r="J236" s="34">
        <v>44865</v>
      </c>
    </row>
    <row r="237" spans="1:10">
      <c r="A237" s="13" t="s">
        <v>393</v>
      </c>
      <c r="B237" s="13" t="s">
        <v>116</v>
      </c>
      <c r="C237" s="1" t="s">
        <v>117</v>
      </c>
      <c r="D237" s="1" t="s">
        <v>358</v>
      </c>
      <c r="E237" s="7">
        <v>3067</v>
      </c>
      <c r="F237" s="21"/>
      <c r="G237" s="35">
        <v>2860</v>
      </c>
      <c r="H237" s="35">
        <f t="shared" si="0"/>
        <v>429000</v>
      </c>
      <c r="I237" s="34">
        <v>44819</v>
      </c>
      <c r="J237" s="34">
        <v>44865</v>
      </c>
    </row>
    <row r="238" spans="1:10">
      <c r="A238" s="13" t="s">
        <v>393</v>
      </c>
      <c r="B238" s="13" t="s">
        <v>116</v>
      </c>
      <c r="C238" s="1" t="s">
        <v>117</v>
      </c>
      <c r="D238" s="1" t="s">
        <v>359</v>
      </c>
      <c r="E238" s="7">
        <v>3488</v>
      </c>
      <c r="F238" s="21"/>
      <c r="G238" s="35">
        <v>2860</v>
      </c>
      <c r="H238" s="35">
        <f t="shared" si="0"/>
        <v>429000</v>
      </c>
      <c r="I238" s="34">
        <v>44819</v>
      </c>
      <c r="J238" s="34">
        <v>44865</v>
      </c>
    </row>
    <row r="239" spans="1:10">
      <c r="A239" s="13" t="s">
        <v>393</v>
      </c>
      <c r="B239" s="13" t="s">
        <v>118</v>
      </c>
      <c r="C239" s="1" t="s">
        <v>119</v>
      </c>
      <c r="D239" s="1" t="s">
        <v>120</v>
      </c>
      <c r="E239" s="1" t="s">
        <v>121</v>
      </c>
      <c r="F239" s="1" t="s">
        <v>122</v>
      </c>
      <c r="G239" s="35">
        <v>350</v>
      </c>
      <c r="H239" s="35">
        <f t="shared" si="0"/>
        <v>52500</v>
      </c>
      <c r="I239" s="34">
        <v>44819</v>
      </c>
      <c r="J239" s="34">
        <v>44865</v>
      </c>
    </row>
    <row r="240" spans="1:10">
      <c r="A240" s="13" t="s">
        <v>393</v>
      </c>
      <c r="B240" s="13" t="s">
        <v>118</v>
      </c>
      <c r="C240" s="1" t="s">
        <v>119</v>
      </c>
      <c r="D240" s="1" t="s">
        <v>120</v>
      </c>
      <c r="E240" s="1" t="s">
        <v>121</v>
      </c>
      <c r="F240" s="1" t="s">
        <v>122</v>
      </c>
      <c r="G240" s="35">
        <v>350</v>
      </c>
      <c r="H240" s="35">
        <f t="shared" si="0"/>
        <v>52500</v>
      </c>
      <c r="I240" s="34">
        <v>44819</v>
      </c>
      <c r="J240" s="34">
        <v>44865</v>
      </c>
    </row>
    <row r="241" spans="1:10">
      <c r="A241" s="13" t="s">
        <v>393</v>
      </c>
      <c r="B241" s="13" t="s">
        <v>118</v>
      </c>
      <c r="C241" s="1" t="s">
        <v>123</v>
      </c>
      <c r="D241" s="1" t="s">
        <v>124</v>
      </c>
      <c r="E241" s="1" t="s">
        <v>121</v>
      </c>
      <c r="F241" s="1" t="s">
        <v>125</v>
      </c>
      <c r="G241" s="35">
        <v>520</v>
      </c>
      <c r="H241" s="35">
        <f t="shared" si="0"/>
        <v>78000</v>
      </c>
      <c r="I241" s="34">
        <v>44819</v>
      </c>
      <c r="J241" s="34">
        <v>44865</v>
      </c>
    </row>
    <row r="242" spans="1:10">
      <c r="A242" s="13" t="s">
        <v>393</v>
      </c>
      <c r="B242" s="13" t="s">
        <v>118</v>
      </c>
      <c r="C242" s="22" t="s">
        <v>123</v>
      </c>
      <c r="D242" s="7" t="s">
        <v>126</v>
      </c>
      <c r="E242" s="7" t="s">
        <v>121</v>
      </c>
      <c r="F242" s="22" t="s">
        <v>127</v>
      </c>
      <c r="G242" s="35">
        <v>390</v>
      </c>
      <c r="H242" s="35">
        <f t="shared" si="0"/>
        <v>58500</v>
      </c>
      <c r="I242" s="34">
        <v>44819</v>
      </c>
      <c r="J242" s="34">
        <v>44865</v>
      </c>
    </row>
    <row r="243" spans="1:10">
      <c r="A243" s="13" t="s">
        <v>393</v>
      </c>
      <c r="B243" s="13" t="s">
        <v>118</v>
      </c>
      <c r="C243" s="1" t="s">
        <v>123</v>
      </c>
      <c r="D243" s="1" t="s">
        <v>124</v>
      </c>
      <c r="E243" s="1" t="s">
        <v>121</v>
      </c>
      <c r="F243" s="1" t="s">
        <v>125</v>
      </c>
      <c r="G243" s="35">
        <v>520</v>
      </c>
      <c r="H243" s="35">
        <f t="shared" si="0"/>
        <v>78000</v>
      </c>
      <c r="I243" s="34">
        <v>44819</v>
      </c>
      <c r="J243" s="34">
        <v>44865</v>
      </c>
    </row>
    <row r="244" spans="1:10">
      <c r="A244" s="13" t="s">
        <v>393</v>
      </c>
      <c r="B244" s="13" t="s">
        <v>118</v>
      </c>
      <c r="C244" s="22" t="s">
        <v>123</v>
      </c>
      <c r="D244" s="7" t="s">
        <v>126</v>
      </c>
      <c r="E244" s="7" t="s">
        <v>121</v>
      </c>
      <c r="F244" s="22" t="s">
        <v>127</v>
      </c>
      <c r="G244" s="35">
        <v>390</v>
      </c>
      <c r="H244" s="35">
        <f t="shared" si="0"/>
        <v>58500</v>
      </c>
      <c r="I244" s="34">
        <v>44819</v>
      </c>
      <c r="J244" s="34">
        <v>44865</v>
      </c>
    </row>
    <row r="245" spans="1:10">
      <c r="A245" s="13" t="s">
        <v>393</v>
      </c>
      <c r="B245" s="13" t="s">
        <v>360</v>
      </c>
      <c r="C245" s="1" t="s">
        <v>117</v>
      </c>
      <c r="D245" s="3" t="s">
        <v>128</v>
      </c>
      <c r="E245" s="1" t="s">
        <v>121</v>
      </c>
      <c r="F245" s="1" t="s">
        <v>129</v>
      </c>
      <c r="G245" s="35">
        <v>65</v>
      </c>
      <c r="H245" s="35">
        <f t="shared" si="0"/>
        <v>9750</v>
      </c>
      <c r="I245" s="34">
        <v>44819</v>
      </c>
      <c r="J245" s="34">
        <v>44865</v>
      </c>
    </row>
    <row r="246" spans="1:10">
      <c r="A246" s="13" t="s">
        <v>393</v>
      </c>
      <c r="B246" s="13" t="s">
        <v>360</v>
      </c>
      <c r="C246" s="1" t="s">
        <v>117</v>
      </c>
      <c r="D246" s="3" t="s">
        <v>128</v>
      </c>
      <c r="E246" s="1" t="s">
        <v>121</v>
      </c>
      <c r="F246" s="1" t="s">
        <v>129</v>
      </c>
      <c r="G246" s="35">
        <v>65</v>
      </c>
      <c r="H246" s="35">
        <f t="shared" si="0"/>
        <v>9750</v>
      </c>
      <c r="I246" s="34">
        <v>44819</v>
      </c>
      <c r="J246" s="34">
        <v>44865</v>
      </c>
    </row>
    <row r="247" spans="1:10">
      <c r="A247" s="13" t="s">
        <v>393</v>
      </c>
      <c r="B247" s="13" t="s">
        <v>361</v>
      </c>
      <c r="C247" s="25" t="s">
        <v>130</v>
      </c>
      <c r="D247" s="4" t="s">
        <v>131</v>
      </c>
      <c r="E247" s="4" t="s">
        <v>132</v>
      </c>
      <c r="F247" s="4" t="s">
        <v>133</v>
      </c>
      <c r="G247" s="35">
        <v>700</v>
      </c>
      <c r="H247" s="35">
        <f t="shared" ref="H247:H310" si="3">G247*150</f>
        <v>105000</v>
      </c>
      <c r="I247" s="34">
        <v>44819</v>
      </c>
      <c r="J247" s="34">
        <v>44865</v>
      </c>
    </row>
    <row r="248" spans="1:10">
      <c r="A248" s="13" t="s">
        <v>393</v>
      </c>
      <c r="B248" s="13" t="s">
        <v>361</v>
      </c>
      <c r="C248" s="4" t="s">
        <v>134</v>
      </c>
      <c r="D248" s="5" t="s">
        <v>135</v>
      </c>
      <c r="E248" s="1" t="s">
        <v>121</v>
      </c>
      <c r="F248" s="4" t="s">
        <v>136</v>
      </c>
      <c r="G248" s="35">
        <v>150</v>
      </c>
      <c r="H248" s="35">
        <f t="shared" si="3"/>
        <v>22500</v>
      </c>
      <c r="I248" s="34">
        <v>44819</v>
      </c>
      <c r="J248" s="34">
        <v>44865</v>
      </c>
    </row>
    <row r="249" spans="1:10">
      <c r="A249" s="13" t="s">
        <v>393</v>
      </c>
      <c r="B249" s="13" t="s">
        <v>361</v>
      </c>
      <c r="C249" s="25" t="s">
        <v>137</v>
      </c>
      <c r="D249" s="4" t="s">
        <v>131</v>
      </c>
      <c r="E249" s="4" t="s">
        <v>138</v>
      </c>
      <c r="F249" s="4" t="s">
        <v>133</v>
      </c>
      <c r="G249" s="35">
        <v>700</v>
      </c>
      <c r="H249" s="35">
        <f t="shared" si="3"/>
        <v>105000</v>
      </c>
      <c r="I249" s="34">
        <v>44819</v>
      </c>
      <c r="J249" s="34">
        <v>44865</v>
      </c>
    </row>
    <row r="250" spans="1:10">
      <c r="A250" s="13" t="s">
        <v>393</v>
      </c>
      <c r="B250" s="13" t="s">
        <v>361</v>
      </c>
      <c r="C250" s="4" t="s">
        <v>134</v>
      </c>
      <c r="D250" s="5" t="s">
        <v>135</v>
      </c>
      <c r="E250" s="1" t="s">
        <v>121</v>
      </c>
      <c r="F250" s="4" t="s">
        <v>136</v>
      </c>
      <c r="G250" s="35">
        <v>150</v>
      </c>
      <c r="H250" s="35">
        <f t="shared" si="3"/>
        <v>22500</v>
      </c>
      <c r="I250" s="34">
        <v>44819</v>
      </c>
      <c r="J250" s="34">
        <v>44865</v>
      </c>
    </row>
    <row r="251" spans="1:10">
      <c r="A251" s="13" t="s">
        <v>393</v>
      </c>
      <c r="B251" s="13" t="s">
        <v>362</v>
      </c>
      <c r="C251" s="25" t="s">
        <v>139</v>
      </c>
      <c r="D251" s="4" t="s">
        <v>140</v>
      </c>
      <c r="E251" s="4" t="s">
        <v>141</v>
      </c>
      <c r="F251" s="4" t="s">
        <v>133</v>
      </c>
      <c r="G251" s="35">
        <v>700</v>
      </c>
      <c r="H251" s="35">
        <f t="shared" si="3"/>
        <v>105000</v>
      </c>
      <c r="I251" s="34">
        <v>44819</v>
      </c>
      <c r="J251" s="34">
        <v>44865</v>
      </c>
    </row>
    <row r="252" spans="1:10">
      <c r="A252" s="13" t="s">
        <v>393</v>
      </c>
      <c r="B252" s="13" t="s">
        <v>362</v>
      </c>
      <c r="C252" s="4" t="s">
        <v>134</v>
      </c>
      <c r="D252" s="5" t="s">
        <v>142</v>
      </c>
      <c r="E252" s="1" t="s">
        <v>121</v>
      </c>
      <c r="F252" s="4" t="s">
        <v>143</v>
      </c>
      <c r="G252" s="35">
        <v>40</v>
      </c>
      <c r="H252" s="35">
        <f t="shared" si="3"/>
        <v>6000</v>
      </c>
      <c r="I252" s="34">
        <v>44819</v>
      </c>
      <c r="J252" s="34">
        <v>44865</v>
      </c>
    </row>
    <row r="253" spans="1:10">
      <c r="A253" s="13" t="s">
        <v>393</v>
      </c>
      <c r="B253" s="13" t="s">
        <v>362</v>
      </c>
      <c r="C253" s="25" t="s">
        <v>144</v>
      </c>
      <c r="D253" s="4" t="s">
        <v>140</v>
      </c>
      <c r="E253" s="4" t="s">
        <v>145</v>
      </c>
      <c r="F253" s="4" t="s">
        <v>133</v>
      </c>
      <c r="G253" s="35">
        <v>700</v>
      </c>
      <c r="H253" s="35">
        <f t="shared" si="3"/>
        <v>105000</v>
      </c>
      <c r="I253" s="34">
        <v>44819</v>
      </c>
      <c r="J253" s="34">
        <v>44865</v>
      </c>
    </row>
    <row r="254" spans="1:10">
      <c r="A254" s="13" t="s">
        <v>393</v>
      </c>
      <c r="B254" s="13" t="s">
        <v>362</v>
      </c>
      <c r="C254" s="4" t="s">
        <v>134</v>
      </c>
      <c r="D254" s="5" t="s">
        <v>142</v>
      </c>
      <c r="E254" s="1" t="s">
        <v>121</v>
      </c>
      <c r="F254" s="4" t="s">
        <v>143</v>
      </c>
      <c r="G254" s="35">
        <v>40</v>
      </c>
      <c r="H254" s="35">
        <f t="shared" si="3"/>
        <v>6000</v>
      </c>
      <c r="I254" s="34">
        <v>44819</v>
      </c>
      <c r="J254" s="34">
        <v>44865</v>
      </c>
    </row>
    <row r="255" spans="1:10">
      <c r="A255" s="13" t="s">
        <v>393</v>
      </c>
      <c r="B255" s="13" t="s">
        <v>118</v>
      </c>
      <c r="C255" s="29" t="s">
        <v>146</v>
      </c>
      <c r="D255" s="6" t="s">
        <v>147</v>
      </c>
      <c r="E255" s="1" t="s">
        <v>121</v>
      </c>
      <c r="F255" s="28"/>
      <c r="G255" s="35">
        <v>10</v>
      </c>
      <c r="H255" s="35">
        <f t="shared" si="3"/>
        <v>1500</v>
      </c>
      <c r="I255" s="34">
        <v>44819</v>
      </c>
      <c r="J255" s="34">
        <v>44865</v>
      </c>
    </row>
    <row r="256" spans="1:10">
      <c r="A256" s="13" t="s">
        <v>393</v>
      </c>
      <c r="B256" s="13" t="s">
        <v>118</v>
      </c>
      <c r="C256" s="29" t="s">
        <v>146</v>
      </c>
      <c r="D256" s="6" t="s">
        <v>147</v>
      </c>
      <c r="E256" s="1" t="s">
        <v>121</v>
      </c>
      <c r="F256" s="28"/>
      <c r="G256" s="35">
        <v>10</v>
      </c>
      <c r="H256" s="35">
        <f t="shared" si="3"/>
        <v>1500</v>
      </c>
      <c r="I256" s="34">
        <v>44819</v>
      </c>
      <c r="J256" s="34">
        <v>44865</v>
      </c>
    </row>
    <row r="257" spans="1:10">
      <c r="A257" s="13" t="s">
        <v>393</v>
      </c>
      <c r="B257" s="13" t="s">
        <v>363</v>
      </c>
      <c r="C257" s="7" t="s">
        <v>148</v>
      </c>
      <c r="D257" s="7" t="s">
        <v>149</v>
      </c>
      <c r="E257" s="7">
        <v>6.3</v>
      </c>
      <c r="F257" s="1" t="s">
        <v>150</v>
      </c>
      <c r="G257" s="35">
        <v>975</v>
      </c>
      <c r="H257" s="35">
        <f t="shared" si="3"/>
        <v>146250</v>
      </c>
      <c r="I257" s="34">
        <v>44819</v>
      </c>
      <c r="J257" s="34">
        <v>44865</v>
      </c>
    </row>
    <row r="258" spans="1:10">
      <c r="A258" s="13" t="s">
        <v>393</v>
      </c>
      <c r="B258" s="13" t="s">
        <v>363</v>
      </c>
      <c r="C258" s="7" t="s">
        <v>148</v>
      </c>
      <c r="D258" s="7" t="s">
        <v>151</v>
      </c>
      <c r="E258" s="7">
        <v>4.9000000000000004</v>
      </c>
      <c r="F258" s="1" t="s">
        <v>150</v>
      </c>
      <c r="G258" s="35">
        <v>700</v>
      </c>
      <c r="H258" s="35">
        <f t="shared" si="3"/>
        <v>105000</v>
      </c>
      <c r="I258" s="34">
        <v>44819</v>
      </c>
      <c r="J258" s="34">
        <v>44865</v>
      </c>
    </row>
    <row r="259" spans="1:10">
      <c r="A259" s="13" t="s">
        <v>393</v>
      </c>
      <c r="B259" s="13" t="s">
        <v>363</v>
      </c>
      <c r="C259" s="7" t="s">
        <v>152</v>
      </c>
      <c r="D259" s="7" t="s">
        <v>153</v>
      </c>
      <c r="E259" s="7">
        <v>1.5</v>
      </c>
      <c r="F259" s="7" t="s">
        <v>150</v>
      </c>
      <c r="G259" s="35">
        <v>585</v>
      </c>
      <c r="H259" s="35">
        <f t="shared" si="3"/>
        <v>87750</v>
      </c>
      <c r="I259" s="34">
        <v>44819</v>
      </c>
      <c r="J259" s="34">
        <v>44865</v>
      </c>
    </row>
    <row r="260" spans="1:10">
      <c r="A260" s="13" t="s">
        <v>393</v>
      </c>
      <c r="B260" s="13" t="s">
        <v>363</v>
      </c>
      <c r="C260" s="7" t="s">
        <v>154</v>
      </c>
      <c r="D260" s="2" t="s">
        <v>155</v>
      </c>
      <c r="E260" s="1" t="s">
        <v>121</v>
      </c>
      <c r="F260" s="7" t="s">
        <v>156</v>
      </c>
      <c r="G260" s="35">
        <v>50</v>
      </c>
      <c r="H260" s="35">
        <f t="shared" si="3"/>
        <v>7500</v>
      </c>
      <c r="I260" s="34">
        <v>44819</v>
      </c>
      <c r="J260" s="34">
        <v>44865</v>
      </c>
    </row>
    <row r="261" spans="1:10">
      <c r="A261" s="13" t="s">
        <v>393</v>
      </c>
      <c r="B261" s="13" t="s">
        <v>364</v>
      </c>
      <c r="C261" s="7" t="s">
        <v>157</v>
      </c>
      <c r="D261" s="7" t="s">
        <v>158</v>
      </c>
      <c r="E261" s="1">
        <v>192</v>
      </c>
      <c r="F261" s="7" t="s">
        <v>394</v>
      </c>
      <c r="G261" s="35">
        <v>3000</v>
      </c>
      <c r="H261" s="35">
        <f t="shared" si="3"/>
        <v>450000</v>
      </c>
      <c r="I261" s="34">
        <v>44819</v>
      </c>
      <c r="J261" s="34">
        <v>44865</v>
      </c>
    </row>
    <row r="262" spans="1:10">
      <c r="A262" s="13" t="s">
        <v>393</v>
      </c>
      <c r="B262" s="13" t="s">
        <v>365</v>
      </c>
      <c r="C262" s="7" t="s">
        <v>159</v>
      </c>
      <c r="D262" s="7" t="s">
        <v>158</v>
      </c>
      <c r="E262" s="1">
        <v>135</v>
      </c>
      <c r="F262" s="7" t="s">
        <v>394</v>
      </c>
      <c r="G262" s="35">
        <v>3000</v>
      </c>
      <c r="H262" s="35">
        <f t="shared" si="3"/>
        <v>450000</v>
      </c>
      <c r="I262" s="34">
        <v>44819</v>
      </c>
      <c r="J262" s="34">
        <v>44865</v>
      </c>
    </row>
    <row r="263" spans="1:10">
      <c r="A263" s="13" t="s">
        <v>393</v>
      </c>
      <c r="B263" s="13" t="s">
        <v>366</v>
      </c>
      <c r="C263" s="7" t="s">
        <v>160</v>
      </c>
      <c r="D263" s="7" t="s">
        <v>161</v>
      </c>
      <c r="E263" s="1">
        <v>139</v>
      </c>
      <c r="F263" s="7" t="s">
        <v>394</v>
      </c>
      <c r="G263" s="35">
        <v>3000</v>
      </c>
      <c r="H263" s="35">
        <f t="shared" si="3"/>
        <v>450000</v>
      </c>
      <c r="I263" s="34">
        <v>44819</v>
      </c>
      <c r="J263" s="34">
        <v>44865</v>
      </c>
    </row>
    <row r="264" spans="1:10">
      <c r="A264" s="13" t="s">
        <v>393</v>
      </c>
      <c r="B264" s="13" t="s">
        <v>367</v>
      </c>
      <c r="C264" s="7" t="s">
        <v>162</v>
      </c>
      <c r="D264" s="7" t="s">
        <v>161</v>
      </c>
      <c r="E264" s="1">
        <v>140</v>
      </c>
      <c r="F264" s="7" t="s">
        <v>394</v>
      </c>
      <c r="G264" s="35">
        <v>3000</v>
      </c>
      <c r="H264" s="35">
        <f t="shared" si="3"/>
        <v>450000</v>
      </c>
      <c r="I264" s="34">
        <v>44819</v>
      </c>
      <c r="J264" s="34">
        <v>44865</v>
      </c>
    </row>
    <row r="265" spans="1:10">
      <c r="A265" s="13" t="s">
        <v>393</v>
      </c>
      <c r="B265" s="13" t="s">
        <v>368</v>
      </c>
      <c r="C265" s="7" t="s">
        <v>163</v>
      </c>
      <c r="D265" s="7" t="s">
        <v>164</v>
      </c>
      <c r="E265" s="1">
        <v>128</v>
      </c>
      <c r="F265" s="7" t="s">
        <v>395</v>
      </c>
      <c r="G265" s="35">
        <v>3000</v>
      </c>
      <c r="H265" s="35">
        <f t="shared" si="3"/>
        <v>450000</v>
      </c>
      <c r="I265" s="34">
        <v>44819</v>
      </c>
      <c r="J265" s="34">
        <v>44865</v>
      </c>
    </row>
    <row r="266" spans="1:10">
      <c r="A266" s="13" t="s">
        <v>393</v>
      </c>
      <c r="B266" s="13" t="s">
        <v>369</v>
      </c>
      <c r="C266" s="7" t="s">
        <v>165</v>
      </c>
      <c r="D266" s="7" t="s">
        <v>164</v>
      </c>
      <c r="E266" s="1">
        <v>157</v>
      </c>
      <c r="F266" s="7" t="s">
        <v>395</v>
      </c>
      <c r="G266" s="35">
        <v>3000</v>
      </c>
      <c r="H266" s="35">
        <f t="shared" si="3"/>
        <v>450000</v>
      </c>
      <c r="I266" s="34">
        <v>44819</v>
      </c>
      <c r="J266" s="34">
        <v>44865</v>
      </c>
    </row>
    <row r="267" spans="1:10">
      <c r="A267" s="13" t="s">
        <v>393</v>
      </c>
      <c r="B267" s="13" t="s">
        <v>370</v>
      </c>
      <c r="C267" s="7" t="s">
        <v>166</v>
      </c>
      <c r="D267" s="1" t="s">
        <v>167</v>
      </c>
      <c r="E267" s="1">
        <v>6500890</v>
      </c>
      <c r="F267" s="7" t="s">
        <v>396</v>
      </c>
      <c r="G267" s="35">
        <v>9000</v>
      </c>
      <c r="H267" s="35">
        <f t="shared" si="3"/>
        <v>1350000</v>
      </c>
      <c r="I267" s="34">
        <v>44819</v>
      </c>
      <c r="J267" s="34">
        <v>44865</v>
      </c>
    </row>
    <row r="268" spans="1:10">
      <c r="A268" s="13" t="s">
        <v>393</v>
      </c>
      <c r="B268" s="13" t="s">
        <v>371</v>
      </c>
      <c r="C268" s="7" t="s">
        <v>166</v>
      </c>
      <c r="D268" s="8" t="s">
        <v>168</v>
      </c>
      <c r="E268" s="1"/>
      <c r="F268" s="8" t="s">
        <v>169</v>
      </c>
      <c r="G268" s="35">
        <v>100</v>
      </c>
      <c r="H268" s="35">
        <f t="shared" si="3"/>
        <v>15000</v>
      </c>
      <c r="I268" s="34">
        <v>44819</v>
      </c>
      <c r="J268" s="34">
        <v>44865</v>
      </c>
    </row>
    <row r="269" spans="1:10">
      <c r="A269" s="13" t="s">
        <v>393</v>
      </c>
      <c r="B269" s="13" t="s">
        <v>372</v>
      </c>
      <c r="C269" s="7" t="s">
        <v>170</v>
      </c>
      <c r="D269" s="1" t="s">
        <v>171</v>
      </c>
      <c r="E269" s="1">
        <v>6600380</v>
      </c>
      <c r="F269" s="7" t="s">
        <v>396</v>
      </c>
      <c r="G269" s="35">
        <v>7000</v>
      </c>
      <c r="H269" s="35">
        <f t="shared" si="3"/>
        <v>1050000</v>
      </c>
      <c r="I269" s="34">
        <v>44819</v>
      </c>
      <c r="J269" s="34">
        <v>44865</v>
      </c>
    </row>
    <row r="270" spans="1:10">
      <c r="A270" s="13" t="s">
        <v>393</v>
      </c>
      <c r="B270" s="13" t="s">
        <v>172</v>
      </c>
      <c r="C270" s="7" t="s">
        <v>173</v>
      </c>
      <c r="D270" s="2" t="s">
        <v>174</v>
      </c>
      <c r="E270" s="1" t="s">
        <v>121</v>
      </c>
      <c r="F270" s="7" t="s">
        <v>175</v>
      </c>
      <c r="G270" s="35">
        <v>700</v>
      </c>
      <c r="H270" s="35">
        <f t="shared" si="3"/>
        <v>105000</v>
      </c>
      <c r="I270" s="34">
        <v>44819</v>
      </c>
      <c r="J270" s="34">
        <v>44865</v>
      </c>
    </row>
    <row r="271" spans="1:10">
      <c r="A271" s="13" t="s">
        <v>393</v>
      </c>
      <c r="B271" s="13" t="s">
        <v>172</v>
      </c>
      <c r="C271" s="7" t="s">
        <v>173</v>
      </c>
      <c r="D271" s="2" t="s">
        <v>174</v>
      </c>
      <c r="E271" s="1" t="s">
        <v>121</v>
      </c>
      <c r="F271" s="7" t="s">
        <v>175</v>
      </c>
      <c r="G271" s="35">
        <v>700</v>
      </c>
      <c r="H271" s="35">
        <f t="shared" si="3"/>
        <v>105000</v>
      </c>
      <c r="I271" s="34">
        <v>44819</v>
      </c>
      <c r="J271" s="34">
        <v>44865</v>
      </c>
    </row>
    <row r="272" spans="1:10">
      <c r="A272" s="13" t="s">
        <v>393</v>
      </c>
      <c r="B272" s="13" t="s">
        <v>172</v>
      </c>
      <c r="C272" s="7" t="s">
        <v>176</v>
      </c>
      <c r="D272" s="1" t="s">
        <v>177</v>
      </c>
      <c r="E272" s="1" t="s">
        <v>121</v>
      </c>
      <c r="F272" s="7" t="s">
        <v>178</v>
      </c>
      <c r="G272" s="35">
        <v>364</v>
      </c>
      <c r="H272" s="35">
        <f t="shared" si="3"/>
        <v>54600</v>
      </c>
      <c r="I272" s="34">
        <v>44819</v>
      </c>
      <c r="J272" s="34">
        <v>44865</v>
      </c>
    </row>
    <row r="273" spans="1:10">
      <c r="A273" s="13" t="s">
        <v>393</v>
      </c>
      <c r="B273" s="13" t="s">
        <v>373</v>
      </c>
      <c r="C273" s="1" t="s">
        <v>176</v>
      </c>
      <c r="D273" s="1" t="s">
        <v>179</v>
      </c>
      <c r="E273" s="1">
        <v>8320432</v>
      </c>
      <c r="F273" s="1" t="s">
        <v>180</v>
      </c>
      <c r="G273" s="35">
        <v>780</v>
      </c>
      <c r="H273" s="35">
        <f t="shared" si="3"/>
        <v>117000</v>
      </c>
      <c r="I273" s="34">
        <v>44819</v>
      </c>
      <c r="J273" s="34">
        <v>44865</v>
      </c>
    </row>
    <row r="274" spans="1:10">
      <c r="A274" s="13" t="s">
        <v>393</v>
      </c>
      <c r="B274" s="13" t="s">
        <v>373</v>
      </c>
      <c r="C274" s="1" t="s">
        <v>176</v>
      </c>
      <c r="D274" s="1" t="s">
        <v>181</v>
      </c>
      <c r="E274" s="1">
        <v>8320432</v>
      </c>
      <c r="F274" s="1" t="s">
        <v>182</v>
      </c>
      <c r="G274" s="35">
        <v>390</v>
      </c>
      <c r="H274" s="35">
        <f t="shared" si="3"/>
        <v>58500</v>
      </c>
      <c r="I274" s="34">
        <v>44819</v>
      </c>
      <c r="J274" s="34">
        <v>44865</v>
      </c>
    </row>
    <row r="275" spans="1:10">
      <c r="A275" s="13" t="s">
        <v>393</v>
      </c>
      <c r="B275" s="13" t="s">
        <v>373</v>
      </c>
      <c r="C275" s="1" t="s">
        <v>176</v>
      </c>
      <c r="D275" s="1" t="s">
        <v>183</v>
      </c>
      <c r="E275" s="7">
        <v>8100356</v>
      </c>
      <c r="F275" s="1" t="s">
        <v>182</v>
      </c>
      <c r="G275" s="35">
        <v>260</v>
      </c>
      <c r="H275" s="35">
        <f t="shared" si="3"/>
        <v>39000</v>
      </c>
      <c r="I275" s="34">
        <v>44819</v>
      </c>
      <c r="J275" s="34">
        <v>44865</v>
      </c>
    </row>
    <row r="276" spans="1:10">
      <c r="A276" s="13" t="s">
        <v>393</v>
      </c>
      <c r="B276" s="13" t="s">
        <v>373</v>
      </c>
      <c r="C276" s="1" t="s">
        <v>176</v>
      </c>
      <c r="D276" s="1" t="s">
        <v>184</v>
      </c>
      <c r="E276" s="1">
        <v>8100360</v>
      </c>
      <c r="F276" s="1" t="s">
        <v>182</v>
      </c>
      <c r="G276" s="35">
        <v>260</v>
      </c>
      <c r="H276" s="35">
        <f t="shared" si="3"/>
        <v>39000</v>
      </c>
      <c r="I276" s="34">
        <v>44819</v>
      </c>
      <c r="J276" s="34">
        <v>44865</v>
      </c>
    </row>
    <row r="277" spans="1:10">
      <c r="A277" s="13" t="s">
        <v>393</v>
      </c>
      <c r="B277" s="13" t="s">
        <v>373</v>
      </c>
      <c r="C277" s="1" t="s">
        <v>176</v>
      </c>
      <c r="D277" s="1" t="s">
        <v>184</v>
      </c>
      <c r="E277" s="1">
        <v>9270044</v>
      </c>
      <c r="F277" s="1" t="s">
        <v>182</v>
      </c>
      <c r="G277" s="35">
        <v>260</v>
      </c>
      <c r="H277" s="35">
        <f t="shared" si="3"/>
        <v>39000</v>
      </c>
      <c r="I277" s="34">
        <v>44819</v>
      </c>
      <c r="J277" s="34">
        <v>44865</v>
      </c>
    </row>
    <row r="278" spans="1:10">
      <c r="A278" s="13" t="s">
        <v>393</v>
      </c>
      <c r="B278" s="13" t="s">
        <v>373</v>
      </c>
      <c r="C278" s="1" t="s">
        <v>176</v>
      </c>
      <c r="D278" s="1" t="s">
        <v>183</v>
      </c>
      <c r="E278" s="7">
        <v>8100351</v>
      </c>
      <c r="F278" s="1" t="s">
        <v>182</v>
      </c>
      <c r="G278" s="35">
        <v>260</v>
      </c>
      <c r="H278" s="35">
        <f t="shared" si="3"/>
        <v>39000</v>
      </c>
      <c r="I278" s="34">
        <v>44819</v>
      </c>
      <c r="J278" s="34">
        <v>44865</v>
      </c>
    </row>
    <row r="279" spans="1:10">
      <c r="A279" s="13" t="s">
        <v>393</v>
      </c>
      <c r="B279" s="13" t="s">
        <v>373</v>
      </c>
      <c r="C279" s="1" t="s">
        <v>176</v>
      </c>
      <c r="D279" s="1" t="s">
        <v>184</v>
      </c>
      <c r="E279" s="7">
        <v>8100354</v>
      </c>
      <c r="F279" s="1" t="s">
        <v>182</v>
      </c>
      <c r="G279" s="35">
        <v>260</v>
      </c>
      <c r="H279" s="35">
        <f t="shared" si="3"/>
        <v>39000</v>
      </c>
      <c r="I279" s="34">
        <v>44819</v>
      </c>
      <c r="J279" s="34">
        <v>44865</v>
      </c>
    </row>
    <row r="280" spans="1:10">
      <c r="A280" s="13" t="s">
        <v>393</v>
      </c>
      <c r="B280" s="13" t="s">
        <v>373</v>
      </c>
      <c r="C280" s="1" t="s">
        <v>176</v>
      </c>
      <c r="D280" s="1"/>
      <c r="E280" s="7" t="s">
        <v>121</v>
      </c>
      <c r="F280" s="1" t="s">
        <v>185</v>
      </c>
      <c r="G280" s="35">
        <v>30</v>
      </c>
      <c r="H280" s="35">
        <f t="shared" si="3"/>
        <v>4500</v>
      </c>
      <c r="I280" s="34">
        <v>44819</v>
      </c>
      <c r="J280" s="34">
        <v>44865</v>
      </c>
    </row>
    <row r="281" spans="1:10">
      <c r="A281" s="13" t="s">
        <v>393</v>
      </c>
      <c r="B281" s="13" t="s">
        <v>374</v>
      </c>
      <c r="C281" s="1" t="s">
        <v>186</v>
      </c>
      <c r="D281" s="1" t="s">
        <v>187</v>
      </c>
      <c r="E281" s="1">
        <v>329066</v>
      </c>
      <c r="F281" s="1" t="s">
        <v>188</v>
      </c>
      <c r="G281" s="35">
        <v>2520</v>
      </c>
      <c r="H281" s="35">
        <f t="shared" si="3"/>
        <v>378000</v>
      </c>
      <c r="I281" s="34">
        <v>44819</v>
      </c>
      <c r="J281" s="34">
        <v>44865</v>
      </c>
    </row>
    <row r="282" spans="1:10">
      <c r="A282" s="13" t="s">
        <v>393</v>
      </c>
      <c r="B282" s="13" t="s">
        <v>374</v>
      </c>
      <c r="C282" s="1" t="s">
        <v>186</v>
      </c>
      <c r="D282" s="1" t="s">
        <v>189</v>
      </c>
      <c r="E282" s="1">
        <v>321859</v>
      </c>
      <c r="F282" s="23" t="s">
        <v>190</v>
      </c>
      <c r="G282" s="35">
        <v>190</v>
      </c>
      <c r="H282" s="35">
        <f t="shared" si="3"/>
        <v>28500</v>
      </c>
      <c r="I282" s="34">
        <v>44819</v>
      </c>
      <c r="J282" s="34">
        <v>44865</v>
      </c>
    </row>
    <row r="283" spans="1:10">
      <c r="A283" s="13" t="s">
        <v>393</v>
      </c>
      <c r="B283" s="13" t="s">
        <v>375</v>
      </c>
      <c r="C283" s="1" t="s">
        <v>191</v>
      </c>
      <c r="D283" s="1" t="s">
        <v>192</v>
      </c>
      <c r="E283" s="1" t="s">
        <v>193</v>
      </c>
      <c r="F283" s="1" t="s">
        <v>194</v>
      </c>
      <c r="G283" s="35">
        <v>12000</v>
      </c>
      <c r="H283" s="35">
        <f t="shared" si="3"/>
        <v>1800000</v>
      </c>
      <c r="I283" s="34">
        <v>44819</v>
      </c>
      <c r="J283" s="34">
        <v>44865</v>
      </c>
    </row>
    <row r="284" spans="1:10">
      <c r="A284" s="13" t="s">
        <v>393</v>
      </c>
      <c r="B284" s="13" t="s">
        <v>375</v>
      </c>
      <c r="C284" s="1" t="s">
        <v>191</v>
      </c>
      <c r="D284" s="1" t="s">
        <v>195</v>
      </c>
      <c r="E284" s="1" t="s">
        <v>121</v>
      </c>
      <c r="F284" s="1" t="s">
        <v>196</v>
      </c>
      <c r="G284" s="35">
        <v>100</v>
      </c>
      <c r="H284" s="35">
        <f t="shared" si="3"/>
        <v>15000</v>
      </c>
      <c r="I284" s="34">
        <v>44819</v>
      </c>
      <c r="J284" s="34">
        <v>44865</v>
      </c>
    </row>
    <row r="285" spans="1:10">
      <c r="A285" s="13" t="s">
        <v>393</v>
      </c>
      <c r="B285" s="13" t="s">
        <v>375</v>
      </c>
      <c r="C285" s="1" t="s">
        <v>191</v>
      </c>
      <c r="D285" s="1" t="s">
        <v>197</v>
      </c>
      <c r="E285" s="1" t="s">
        <v>121</v>
      </c>
      <c r="F285" s="1" t="s">
        <v>198</v>
      </c>
      <c r="G285" s="35">
        <v>65</v>
      </c>
      <c r="H285" s="35">
        <f t="shared" si="3"/>
        <v>9750</v>
      </c>
      <c r="I285" s="34">
        <v>44819</v>
      </c>
      <c r="J285" s="34">
        <v>44865</v>
      </c>
    </row>
    <row r="286" spans="1:10">
      <c r="A286" s="13" t="s">
        <v>393</v>
      </c>
      <c r="B286" s="13" t="s">
        <v>375</v>
      </c>
      <c r="C286" s="1" t="s">
        <v>199</v>
      </c>
      <c r="D286" s="1" t="s">
        <v>200</v>
      </c>
      <c r="E286" s="1" t="s">
        <v>121</v>
      </c>
      <c r="F286" s="1" t="s">
        <v>201</v>
      </c>
      <c r="G286" s="35">
        <v>60</v>
      </c>
      <c r="H286" s="35">
        <f t="shared" si="3"/>
        <v>9000</v>
      </c>
      <c r="I286" s="34">
        <v>44819</v>
      </c>
      <c r="J286" s="34">
        <v>44865</v>
      </c>
    </row>
    <row r="287" spans="1:10">
      <c r="A287" s="13" t="s">
        <v>393</v>
      </c>
      <c r="B287" s="13" t="s">
        <v>375</v>
      </c>
      <c r="C287" s="1" t="s">
        <v>199</v>
      </c>
      <c r="D287" s="1" t="s">
        <v>200</v>
      </c>
      <c r="E287" s="1" t="s">
        <v>121</v>
      </c>
      <c r="F287" s="1" t="s">
        <v>201</v>
      </c>
      <c r="G287" s="35">
        <v>60</v>
      </c>
      <c r="H287" s="35">
        <f t="shared" si="3"/>
        <v>9000</v>
      </c>
      <c r="I287" s="34">
        <v>44819</v>
      </c>
      <c r="J287" s="34">
        <v>44865</v>
      </c>
    </row>
    <row r="288" spans="1:10">
      <c r="A288" s="13" t="s">
        <v>393</v>
      </c>
      <c r="B288" s="13" t="s">
        <v>375</v>
      </c>
      <c r="C288" s="1" t="s">
        <v>202</v>
      </c>
      <c r="D288" s="1" t="s">
        <v>203</v>
      </c>
      <c r="E288" s="1"/>
      <c r="F288" s="1" t="s">
        <v>204</v>
      </c>
      <c r="G288" s="35">
        <v>30</v>
      </c>
      <c r="H288" s="35">
        <f t="shared" si="3"/>
        <v>4500</v>
      </c>
      <c r="I288" s="34">
        <v>44819</v>
      </c>
      <c r="J288" s="34">
        <v>44865</v>
      </c>
    </row>
    <row r="289" spans="1:10">
      <c r="A289" s="13" t="s">
        <v>393</v>
      </c>
      <c r="B289" s="13" t="s">
        <v>375</v>
      </c>
      <c r="C289" s="1" t="s">
        <v>205</v>
      </c>
      <c r="D289" s="1" t="s">
        <v>206</v>
      </c>
      <c r="E289" s="1" t="s">
        <v>121</v>
      </c>
      <c r="F289" s="1" t="s">
        <v>207</v>
      </c>
      <c r="G289" s="35">
        <v>80</v>
      </c>
      <c r="H289" s="35">
        <f t="shared" si="3"/>
        <v>12000</v>
      </c>
      <c r="I289" s="34">
        <v>44819</v>
      </c>
      <c r="J289" s="34">
        <v>44865</v>
      </c>
    </row>
    <row r="290" spans="1:10">
      <c r="A290" s="13" t="s">
        <v>393</v>
      </c>
      <c r="B290" s="13" t="s">
        <v>375</v>
      </c>
      <c r="C290" s="1" t="s">
        <v>205</v>
      </c>
      <c r="D290" s="1" t="s">
        <v>206</v>
      </c>
      <c r="E290" s="1" t="s">
        <v>121</v>
      </c>
      <c r="F290" s="1" t="s">
        <v>207</v>
      </c>
      <c r="G290" s="35">
        <v>80</v>
      </c>
      <c r="H290" s="35">
        <f t="shared" si="3"/>
        <v>12000</v>
      </c>
      <c r="I290" s="34">
        <v>44819</v>
      </c>
      <c r="J290" s="34">
        <v>44865</v>
      </c>
    </row>
    <row r="291" spans="1:10">
      <c r="A291" s="13" t="s">
        <v>393</v>
      </c>
      <c r="B291" s="13" t="s">
        <v>375</v>
      </c>
      <c r="C291" s="1" t="s">
        <v>208</v>
      </c>
      <c r="D291" s="1" t="s">
        <v>209</v>
      </c>
      <c r="E291" s="1"/>
      <c r="F291" s="1" t="s">
        <v>210</v>
      </c>
      <c r="G291" s="35">
        <v>20</v>
      </c>
      <c r="H291" s="35">
        <f t="shared" si="3"/>
        <v>3000</v>
      </c>
      <c r="I291" s="34">
        <v>44819</v>
      </c>
      <c r="J291" s="34">
        <v>44865</v>
      </c>
    </row>
    <row r="292" spans="1:10">
      <c r="A292" s="13" t="s">
        <v>393</v>
      </c>
      <c r="B292" s="13" t="s">
        <v>211</v>
      </c>
      <c r="C292" s="1" t="s">
        <v>212</v>
      </c>
      <c r="D292" s="1">
        <v>0.5</v>
      </c>
      <c r="E292" s="1">
        <v>1</v>
      </c>
      <c r="F292" s="1" t="s">
        <v>213</v>
      </c>
      <c r="G292" s="35">
        <v>33</v>
      </c>
      <c r="H292" s="35">
        <f t="shared" si="3"/>
        <v>4950</v>
      </c>
      <c r="I292" s="34">
        <v>44819</v>
      </c>
      <c r="J292" s="34">
        <v>44865</v>
      </c>
    </row>
    <row r="293" spans="1:10">
      <c r="A293" s="13" t="s">
        <v>393</v>
      </c>
      <c r="B293" s="13" t="s">
        <v>211</v>
      </c>
      <c r="C293" s="1" t="s">
        <v>212</v>
      </c>
      <c r="D293" s="1">
        <v>0.5</v>
      </c>
      <c r="E293" s="1">
        <v>1</v>
      </c>
      <c r="F293" s="1" t="s">
        <v>213</v>
      </c>
      <c r="G293" s="35">
        <v>33</v>
      </c>
      <c r="H293" s="35">
        <f t="shared" si="3"/>
        <v>4950</v>
      </c>
      <c r="I293" s="34">
        <v>44819</v>
      </c>
      <c r="J293" s="34">
        <v>44865</v>
      </c>
    </row>
    <row r="294" spans="1:10">
      <c r="A294" s="13" t="s">
        <v>393</v>
      </c>
      <c r="B294" s="13" t="s">
        <v>211</v>
      </c>
      <c r="C294" s="1" t="s">
        <v>212</v>
      </c>
      <c r="D294" s="1">
        <v>0.5</v>
      </c>
      <c r="E294" s="1">
        <v>1</v>
      </c>
      <c r="F294" s="1" t="s">
        <v>213</v>
      </c>
      <c r="G294" s="35">
        <v>33</v>
      </c>
      <c r="H294" s="35">
        <f t="shared" si="3"/>
        <v>4950</v>
      </c>
      <c r="I294" s="34">
        <v>44819</v>
      </c>
      <c r="J294" s="34">
        <v>44865</v>
      </c>
    </row>
    <row r="295" spans="1:10">
      <c r="A295" s="13" t="s">
        <v>393</v>
      </c>
      <c r="B295" s="13" t="s">
        <v>211</v>
      </c>
      <c r="C295" s="1" t="s">
        <v>212</v>
      </c>
      <c r="D295" s="1">
        <v>0.5</v>
      </c>
      <c r="E295" s="1">
        <v>1</v>
      </c>
      <c r="F295" s="1" t="s">
        <v>213</v>
      </c>
      <c r="G295" s="35">
        <v>33</v>
      </c>
      <c r="H295" s="35">
        <f t="shared" si="3"/>
        <v>4950</v>
      </c>
      <c r="I295" s="34">
        <v>44819</v>
      </c>
      <c r="J295" s="34">
        <v>44865</v>
      </c>
    </row>
    <row r="296" spans="1:10">
      <c r="A296" s="13" t="s">
        <v>393</v>
      </c>
      <c r="B296" s="13" t="s">
        <v>211</v>
      </c>
      <c r="C296" s="1" t="s">
        <v>212</v>
      </c>
      <c r="D296" s="1">
        <v>0.5</v>
      </c>
      <c r="E296" s="1">
        <v>1</v>
      </c>
      <c r="F296" s="1" t="s">
        <v>213</v>
      </c>
      <c r="G296" s="35">
        <v>33</v>
      </c>
      <c r="H296" s="35">
        <f t="shared" si="3"/>
        <v>4950</v>
      </c>
      <c r="I296" s="34">
        <v>44819</v>
      </c>
      <c r="J296" s="34">
        <v>44865</v>
      </c>
    </row>
    <row r="297" spans="1:10">
      <c r="A297" s="13" t="s">
        <v>393</v>
      </c>
      <c r="B297" s="13" t="s">
        <v>211</v>
      </c>
      <c r="C297" s="1" t="s">
        <v>212</v>
      </c>
      <c r="D297" s="1">
        <v>0.5</v>
      </c>
      <c r="E297" s="1">
        <v>1</v>
      </c>
      <c r="F297" s="1" t="s">
        <v>213</v>
      </c>
      <c r="G297" s="35">
        <v>33</v>
      </c>
      <c r="H297" s="35">
        <f t="shared" si="3"/>
        <v>4950</v>
      </c>
      <c r="I297" s="34">
        <v>44819</v>
      </c>
      <c r="J297" s="34">
        <v>44865</v>
      </c>
    </row>
    <row r="298" spans="1:10">
      <c r="A298" s="13" t="s">
        <v>393</v>
      </c>
      <c r="B298" s="13" t="s">
        <v>211</v>
      </c>
      <c r="C298" s="1" t="s">
        <v>214</v>
      </c>
      <c r="D298" s="1">
        <v>0.5</v>
      </c>
      <c r="E298" s="1">
        <v>1</v>
      </c>
      <c r="F298" s="1" t="s">
        <v>215</v>
      </c>
      <c r="G298" s="35">
        <v>33</v>
      </c>
      <c r="H298" s="35">
        <f t="shared" si="3"/>
        <v>4950</v>
      </c>
      <c r="I298" s="34">
        <v>44819</v>
      </c>
      <c r="J298" s="34">
        <v>44865</v>
      </c>
    </row>
    <row r="299" spans="1:10">
      <c r="A299" s="13" t="s">
        <v>393</v>
      </c>
      <c r="B299" s="13" t="s">
        <v>211</v>
      </c>
      <c r="C299" s="1" t="s">
        <v>214</v>
      </c>
      <c r="D299" s="1">
        <v>0.5</v>
      </c>
      <c r="E299" s="1">
        <v>1</v>
      </c>
      <c r="F299" s="1" t="s">
        <v>216</v>
      </c>
      <c r="G299" s="35">
        <v>33</v>
      </c>
      <c r="H299" s="35">
        <f t="shared" si="3"/>
        <v>4950</v>
      </c>
      <c r="I299" s="34">
        <v>44819</v>
      </c>
      <c r="J299" s="34">
        <v>44865</v>
      </c>
    </row>
    <row r="300" spans="1:10">
      <c r="A300" s="13" t="s">
        <v>393</v>
      </c>
      <c r="B300" s="13" t="s">
        <v>211</v>
      </c>
      <c r="C300" s="1" t="s">
        <v>217</v>
      </c>
      <c r="D300" s="1">
        <v>0.5</v>
      </c>
      <c r="E300" s="1">
        <v>1</v>
      </c>
      <c r="F300" s="1" t="s">
        <v>215</v>
      </c>
      <c r="G300" s="35">
        <v>33</v>
      </c>
      <c r="H300" s="35">
        <f t="shared" si="3"/>
        <v>4950</v>
      </c>
      <c r="I300" s="34">
        <v>44819</v>
      </c>
      <c r="J300" s="34">
        <v>44865</v>
      </c>
    </row>
    <row r="301" spans="1:10">
      <c r="A301" s="13" t="s">
        <v>393</v>
      </c>
      <c r="B301" s="13" t="s">
        <v>211</v>
      </c>
      <c r="C301" s="1" t="s">
        <v>217</v>
      </c>
      <c r="D301" s="1">
        <v>0.5</v>
      </c>
      <c r="E301" s="1">
        <v>1</v>
      </c>
      <c r="F301" s="1" t="s">
        <v>216</v>
      </c>
      <c r="G301" s="35">
        <v>33</v>
      </c>
      <c r="H301" s="35">
        <f t="shared" si="3"/>
        <v>4950</v>
      </c>
      <c r="I301" s="34">
        <v>44819</v>
      </c>
      <c r="J301" s="34">
        <v>44865</v>
      </c>
    </row>
    <row r="302" spans="1:10">
      <c r="A302" s="13" t="s">
        <v>393</v>
      </c>
      <c r="B302" s="13" t="s">
        <v>211</v>
      </c>
      <c r="C302" s="1" t="s">
        <v>218</v>
      </c>
      <c r="D302" s="1">
        <v>0.5</v>
      </c>
      <c r="E302" s="1">
        <v>1</v>
      </c>
      <c r="F302" s="1" t="s">
        <v>219</v>
      </c>
      <c r="G302" s="35">
        <v>33</v>
      </c>
      <c r="H302" s="35">
        <f t="shared" si="3"/>
        <v>4950</v>
      </c>
      <c r="I302" s="34">
        <v>44819</v>
      </c>
      <c r="J302" s="34">
        <v>44865</v>
      </c>
    </row>
    <row r="303" spans="1:10">
      <c r="A303" s="13" t="s">
        <v>393</v>
      </c>
      <c r="B303" s="13" t="s">
        <v>211</v>
      </c>
      <c r="C303" s="1" t="s">
        <v>218</v>
      </c>
      <c r="D303" s="1">
        <v>0.5</v>
      </c>
      <c r="E303" s="1">
        <v>1</v>
      </c>
      <c r="F303" s="1" t="s">
        <v>219</v>
      </c>
      <c r="G303" s="35">
        <v>33</v>
      </c>
      <c r="H303" s="35">
        <f t="shared" si="3"/>
        <v>4950</v>
      </c>
      <c r="I303" s="34">
        <v>44819</v>
      </c>
      <c r="J303" s="34">
        <v>44865</v>
      </c>
    </row>
    <row r="304" spans="1:10">
      <c r="A304" s="13" t="s">
        <v>393</v>
      </c>
      <c r="B304" s="13" t="s">
        <v>211</v>
      </c>
      <c r="C304" s="1" t="s">
        <v>220</v>
      </c>
      <c r="D304" s="1">
        <v>0.5</v>
      </c>
      <c r="E304" s="1">
        <v>1</v>
      </c>
      <c r="F304" s="1" t="s">
        <v>221</v>
      </c>
      <c r="G304" s="35">
        <v>75</v>
      </c>
      <c r="H304" s="35">
        <f t="shared" si="3"/>
        <v>11250</v>
      </c>
      <c r="I304" s="34">
        <v>44819</v>
      </c>
      <c r="J304" s="34">
        <v>44865</v>
      </c>
    </row>
    <row r="305" spans="1:10">
      <c r="A305" s="13" t="s">
        <v>393</v>
      </c>
      <c r="B305" s="13" t="s">
        <v>211</v>
      </c>
      <c r="C305" s="1" t="s">
        <v>220</v>
      </c>
      <c r="D305" s="1">
        <v>0.5</v>
      </c>
      <c r="E305" s="1">
        <v>1</v>
      </c>
      <c r="F305" s="1" t="s">
        <v>221</v>
      </c>
      <c r="G305" s="35">
        <v>75</v>
      </c>
      <c r="H305" s="35">
        <f t="shared" si="3"/>
        <v>11250</v>
      </c>
      <c r="I305" s="34">
        <v>44819</v>
      </c>
      <c r="J305" s="34">
        <v>44865</v>
      </c>
    </row>
    <row r="306" spans="1:10">
      <c r="A306" s="13" t="s">
        <v>393</v>
      </c>
      <c r="B306" s="13" t="s">
        <v>211</v>
      </c>
      <c r="C306" s="1" t="s">
        <v>220</v>
      </c>
      <c r="D306" s="1">
        <v>0.5</v>
      </c>
      <c r="E306" s="1">
        <v>1</v>
      </c>
      <c r="F306" s="1" t="s">
        <v>221</v>
      </c>
      <c r="G306" s="35">
        <v>75</v>
      </c>
      <c r="H306" s="35">
        <f t="shared" si="3"/>
        <v>11250</v>
      </c>
      <c r="I306" s="34">
        <v>44819</v>
      </c>
      <c r="J306" s="34">
        <v>44865</v>
      </c>
    </row>
    <row r="307" spans="1:10">
      <c r="A307" s="13" t="s">
        <v>393</v>
      </c>
      <c r="B307" s="13" t="s">
        <v>211</v>
      </c>
      <c r="C307" s="1" t="s">
        <v>220</v>
      </c>
      <c r="D307" s="1">
        <v>0.5</v>
      </c>
      <c r="E307" s="1">
        <v>1</v>
      </c>
      <c r="F307" s="1" t="s">
        <v>221</v>
      </c>
      <c r="G307" s="35">
        <v>75</v>
      </c>
      <c r="H307" s="35">
        <f t="shared" si="3"/>
        <v>11250</v>
      </c>
      <c r="I307" s="34">
        <v>44819</v>
      </c>
      <c r="J307" s="34">
        <v>44865</v>
      </c>
    </row>
    <row r="308" spans="1:10">
      <c r="A308" s="13" t="s">
        <v>393</v>
      </c>
      <c r="B308" s="13" t="s">
        <v>211</v>
      </c>
      <c r="C308" s="1" t="s">
        <v>222</v>
      </c>
      <c r="D308" s="1">
        <v>0.5</v>
      </c>
      <c r="E308" s="1">
        <v>1</v>
      </c>
      <c r="F308" s="1" t="s">
        <v>223</v>
      </c>
      <c r="G308" s="35">
        <v>250</v>
      </c>
      <c r="H308" s="35">
        <f t="shared" si="3"/>
        <v>37500</v>
      </c>
      <c r="I308" s="34">
        <v>44819</v>
      </c>
      <c r="J308" s="34">
        <v>44865</v>
      </c>
    </row>
    <row r="309" spans="1:10">
      <c r="A309" s="13" t="s">
        <v>393</v>
      </c>
      <c r="B309" s="13" t="s">
        <v>211</v>
      </c>
      <c r="C309" s="1" t="s">
        <v>212</v>
      </c>
      <c r="D309" s="1">
        <v>0.5</v>
      </c>
      <c r="E309" s="1">
        <v>1</v>
      </c>
      <c r="F309" s="1" t="s">
        <v>224</v>
      </c>
      <c r="G309" s="35">
        <v>33</v>
      </c>
      <c r="H309" s="35">
        <f t="shared" si="3"/>
        <v>4950</v>
      </c>
      <c r="I309" s="34">
        <v>44819</v>
      </c>
      <c r="J309" s="34">
        <v>44865</v>
      </c>
    </row>
    <row r="310" spans="1:10">
      <c r="A310" s="13" t="s">
        <v>393</v>
      </c>
      <c r="B310" s="13" t="s">
        <v>211</v>
      </c>
      <c r="C310" s="1" t="s">
        <v>225</v>
      </c>
      <c r="D310" s="1">
        <v>0.5</v>
      </c>
      <c r="E310" s="1">
        <v>1</v>
      </c>
      <c r="F310" s="1" t="s">
        <v>226</v>
      </c>
      <c r="G310" s="35">
        <v>33</v>
      </c>
      <c r="H310" s="35">
        <f t="shared" si="3"/>
        <v>4950</v>
      </c>
      <c r="I310" s="34">
        <v>44819</v>
      </c>
      <c r="J310" s="34">
        <v>44865</v>
      </c>
    </row>
    <row r="311" spans="1:10">
      <c r="A311" s="13" t="s">
        <v>393</v>
      </c>
      <c r="B311" s="13" t="s">
        <v>211</v>
      </c>
      <c r="C311" s="1" t="s">
        <v>227</v>
      </c>
      <c r="D311" s="1">
        <v>0.5</v>
      </c>
      <c r="E311" s="1">
        <v>1</v>
      </c>
      <c r="F311" s="1" t="s">
        <v>228</v>
      </c>
      <c r="G311" s="35">
        <v>33</v>
      </c>
      <c r="H311" s="35">
        <f t="shared" ref="H311:H374" si="4">G311*150</f>
        <v>4950</v>
      </c>
      <c r="I311" s="34">
        <v>44819</v>
      </c>
      <c r="J311" s="34">
        <v>44865</v>
      </c>
    </row>
    <row r="312" spans="1:10">
      <c r="A312" s="13" t="s">
        <v>393</v>
      </c>
      <c r="B312" s="13" t="s">
        <v>211</v>
      </c>
      <c r="C312" s="1" t="s">
        <v>229</v>
      </c>
      <c r="D312" s="1">
        <v>0.5</v>
      </c>
      <c r="E312" s="1">
        <v>1</v>
      </c>
      <c r="F312" s="1" t="s">
        <v>230</v>
      </c>
      <c r="G312" s="35">
        <v>33</v>
      </c>
      <c r="H312" s="35">
        <f t="shared" si="4"/>
        <v>4950</v>
      </c>
      <c r="I312" s="34">
        <v>44819</v>
      </c>
      <c r="J312" s="34">
        <v>44865</v>
      </c>
    </row>
    <row r="313" spans="1:10">
      <c r="A313" s="13" t="s">
        <v>393</v>
      </c>
      <c r="B313" s="13" t="s">
        <v>211</v>
      </c>
      <c r="C313" s="1" t="s">
        <v>191</v>
      </c>
      <c r="D313" s="1" t="s">
        <v>231</v>
      </c>
      <c r="E313" s="1" t="s">
        <v>232</v>
      </c>
      <c r="F313" s="1" t="s">
        <v>233</v>
      </c>
      <c r="G313" s="35">
        <v>100</v>
      </c>
      <c r="H313" s="35">
        <f t="shared" si="4"/>
        <v>15000</v>
      </c>
      <c r="I313" s="34">
        <v>44819</v>
      </c>
      <c r="J313" s="34">
        <v>44865</v>
      </c>
    </row>
    <row r="314" spans="1:10">
      <c r="A314" s="13" t="s">
        <v>393</v>
      </c>
      <c r="B314" s="13" t="s">
        <v>234</v>
      </c>
      <c r="C314" s="1" t="s">
        <v>235</v>
      </c>
      <c r="D314" s="1" t="s">
        <v>236</v>
      </c>
      <c r="E314" s="1" t="s">
        <v>237</v>
      </c>
      <c r="F314" s="1" t="s">
        <v>238</v>
      </c>
      <c r="G314" s="35">
        <v>600</v>
      </c>
      <c r="H314" s="35">
        <f t="shared" si="4"/>
        <v>90000</v>
      </c>
      <c r="I314" s="34">
        <v>44819</v>
      </c>
      <c r="J314" s="34">
        <v>44865</v>
      </c>
    </row>
    <row r="315" spans="1:10">
      <c r="A315" s="13" t="s">
        <v>393</v>
      </c>
      <c r="B315" s="13" t="s">
        <v>376</v>
      </c>
      <c r="C315" s="1" t="s">
        <v>235</v>
      </c>
      <c r="D315" s="1" t="s">
        <v>239</v>
      </c>
      <c r="E315" s="1" t="s">
        <v>240</v>
      </c>
      <c r="F315" s="1" t="s">
        <v>241</v>
      </c>
      <c r="G315" s="35">
        <v>400</v>
      </c>
      <c r="H315" s="35">
        <f t="shared" si="4"/>
        <v>60000</v>
      </c>
      <c r="I315" s="34">
        <v>44819</v>
      </c>
      <c r="J315" s="34">
        <v>44865</v>
      </c>
    </row>
    <row r="316" spans="1:10">
      <c r="A316" s="13" t="s">
        <v>393</v>
      </c>
      <c r="B316" s="13" t="s">
        <v>377</v>
      </c>
      <c r="C316" s="1" t="s">
        <v>235</v>
      </c>
      <c r="D316" s="1" t="s">
        <v>242</v>
      </c>
      <c r="E316" s="1">
        <v>1</v>
      </c>
      <c r="F316" s="1" t="s">
        <v>243</v>
      </c>
      <c r="G316" s="35">
        <v>20</v>
      </c>
      <c r="H316" s="35">
        <f t="shared" si="4"/>
        <v>3000</v>
      </c>
      <c r="I316" s="34">
        <v>44819</v>
      </c>
      <c r="J316" s="34">
        <v>44865</v>
      </c>
    </row>
    <row r="317" spans="1:10">
      <c r="A317" s="13" t="s">
        <v>393</v>
      </c>
      <c r="B317" s="13" t="s">
        <v>378</v>
      </c>
      <c r="C317" s="1" t="s">
        <v>244</v>
      </c>
      <c r="D317" s="1" t="s">
        <v>245</v>
      </c>
      <c r="E317" s="1">
        <v>1</v>
      </c>
      <c r="F317" s="1" t="s">
        <v>246</v>
      </c>
      <c r="G317" s="35">
        <v>5</v>
      </c>
      <c r="H317" s="35">
        <f t="shared" si="4"/>
        <v>750</v>
      </c>
      <c r="I317" s="34">
        <v>44819</v>
      </c>
      <c r="J317" s="34">
        <v>44865</v>
      </c>
    </row>
    <row r="318" spans="1:10">
      <c r="A318" s="13" t="s">
        <v>393</v>
      </c>
      <c r="B318" s="13" t="s">
        <v>379</v>
      </c>
      <c r="C318" s="1" t="s">
        <v>235</v>
      </c>
      <c r="D318" s="1" t="s">
        <v>247</v>
      </c>
      <c r="E318" s="1" t="s">
        <v>121</v>
      </c>
      <c r="F318" s="1" t="s">
        <v>248</v>
      </c>
      <c r="G318" s="35">
        <v>20</v>
      </c>
      <c r="H318" s="35">
        <f t="shared" si="4"/>
        <v>3000</v>
      </c>
      <c r="I318" s="34">
        <v>44819</v>
      </c>
      <c r="J318" s="34">
        <v>44865</v>
      </c>
    </row>
    <row r="319" spans="1:10">
      <c r="A319" s="13" t="s">
        <v>393</v>
      </c>
      <c r="B319" s="13" t="s">
        <v>249</v>
      </c>
      <c r="C319" s="1" t="s">
        <v>176</v>
      </c>
      <c r="D319" s="7" t="s">
        <v>250</v>
      </c>
      <c r="E319" s="1" t="s">
        <v>121</v>
      </c>
      <c r="F319" s="1" t="s">
        <v>251</v>
      </c>
      <c r="G319" s="35">
        <v>230</v>
      </c>
      <c r="H319" s="35">
        <f t="shared" si="4"/>
        <v>34500</v>
      </c>
      <c r="I319" s="34">
        <v>44819</v>
      </c>
      <c r="J319" s="34">
        <v>44865</v>
      </c>
    </row>
    <row r="320" spans="1:10">
      <c r="A320" s="13" t="s">
        <v>393</v>
      </c>
      <c r="B320" s="13" t="s">
        <v>249</v>
      </c>
      <c r="C320" s="1" t="s">
        <v>176</v>
      </c>
      <c r="D320" s="7" t="s">
        <v>252</v>
      </c>
      <c r="E320" s="1" t="s">
        <v>121</v>
      </c>
      <c r="F320" s="1" t="s">
        <v>253</v>
      </c>
      <c r="G320" s="35">
        <v>50</v>
      </c>
      <c r="H320" s="35">
        <f t="shared" si="4"/>
        <v>7500</v>
      </c>
      <c r="I320" s="34">
        <v>44819</v>
      </c>
      <c r="J320" s="34">
        <v>44865</v>
      </c>
    </row>
    <row r="321" spans="1:10">
      <c r="A321" s="13" t="s">
        <v>393</v>
      </c>
      <c r="B321" s="13" t="s">
        <v>249</v>
      </c>
      <c r="C321" s="1" t="s">
        <v>176</v>
      </c>
      <c r="D321" s="7" t="s">
        <v>252</v>
      </c>
      <c r="E321" s="1" t="s">
        <v>121</v>
      </c>
      <c r="F321" s="1" t="s">
        <v>254</v>
      </c>
      <c r="G321" s="35">
        <v>50</v>
      </c>
      <c r="H321" s="35">
        <f t="shared" si="4"/>
        <v>7500</v>
      </c>
      <c r="I321" s="34">
        <v>44819</v>
      </c>
      <c r="J321" s="34">
        <v>44865</v>
      </c>
    </row>
    <row r="322" spans="1:10">
      <c r="A322" s="13" t="s">
        <v>393</v>
      </c>
      <c r="B322" s="13" t="s">
        <v>249</v>
      </c>
      <c r="C322" s="1" t="s">
        <v>176</v>
      </c>
      <c r="D322" s="7" t="s">
        <v>252</v>
      </c>
      <c r="E322" s="1" t="s">
        <v>121</v>
      </c>
      <c r="F322" s="1" t="s">
        <v>253</v>
      </c>
      <c r="G322" s="35">
        <v>50</v>
      </c>
      <c r="H322" s="35">
        <f t="shared" si="4"/>
        <v>7500</v>
      </c>
      <c r="I322" s="34">
        <v>44819</v>
      </c>
      <c r="J322" s="34">
        <v>44865</v>
      </c>
    </row>
    <row r="323" spans="1:10">
      <c r="A323" s="13" t="s">
        <v>393</v>
      </c>
      <c r="B323" s="13" t="s">
        <v>249</v>
      </c>
      <c r="C323" s="1" t="s">
        <v>176</v>
      </c>
      <c r="D323" s="7" t="s">
        <v>252</v>
      </c>
      <c r="E323" s="1" t="s">
        <v>121</v>
      </c>
      <c r="F323" s="1" t="s">
        <v>254</v>
      </c>
      <c r="G323" s="35">
        <v>50</v>
      </c>
      <c r="H323" s="35">
        <f t="shared" si="4"/>
        <v>7500</v>
      </c>
      <c r="I323" s="34">
        <v>44819</v>
      </c>
      <c r="J323" s="34">
        <v>44865</v>
      </c>
    </row>
    <row r="324" spans="1:10">
      <c r="A324" s="13" t="s">
        <v>393</v>
      </c>
      <c r="B324" s="13" t="s">
        <v>249</v>
      </c>
      <c r="C324" s="1" t="s">
        <v>255</v>
      </c>
      <c r="D324" s="7" t="s">
        <v>256</v>
      </c>
      <c r="E324" s="1" t="s">
        <v>121</v>
      </c>
      <c r="F324" s="1" t="s">
        <v>257</v>
      </c>
      <c r="G324" s="35">
        <v>260</v>
      </c>
      <c r="H324" s="35">
        <f t="shared" si="4"/>
        <v>39000</v>
      </c>
      <c r="I324" s="34">
        <v>44819</v>
      </c>
      <c r="J324" s="34">
        <v>44865</v>
      </c>
    </row>
    <row r="325" spans="1:10">
      <c r="A325" s="13" t="s">
        <v>393</v>
      </c>
      <c r="B325" s="13" t="s">
        <v>380</v>
      </c>
      <c r="C325" s="1" t="s">
        <v>258</v>
      </c>
      <c r="D325" s="1" t="s">
        <v>259</v>
      </c>
      <c r="E325" s="1" t="s">
        <v>260</v>
      </c>
      <c r="F325" s="1" t="s">
        <v>261</v>
      </c>
      <c r="G325" s="35">
        <v>130</v>
      </c>
      <c r="H325" s="35">
        <f t="shared" si="4"/>
        <v>19500</v>
      </c>
      <c r="I325" s="34">
        <v>44819</v>
      </c>
      <c r="J325" s="34">
        <v>44865</v>
      </c>
    </row>
    <row r="326" spans="1:10">
      <c r="A326" s="13" t="s">
        <v>393</v>
      </c>
      <c r="B326" s="13" t="s">
        <v>381</v>
      </c>
      <c r="C326" s="7" t="s">
        <v>262</v>
      </c>
      <c r="D326" s="7" t="s">
        <v>263</v>
      </c>
      <c r="E326" s="7" t="s">
        <v>264</v>
      </c>
      <c r="F326" s="22" t="s">
        <v>265</v>
      </c>
      <c r="G326" s="35">
        <v>286</v>
      </c>
      <c r="H326" s="35">
        <f t="shared" si="4"/>
        <v>42900</v>
      </c>
      <c r="I326" s="34">
        <v>44819</v>
      </c>
      <c r="J326" s="34">
        <v>44865</v>
      </c>
    </row>
    <row r="327" spans="1:10">
      <c r="A327" s="13" t="s">
        <v>393</v>
      </c>
      <c r="B327" s="13" t="s">
        <v>382</v>
      </c>
      <c r="C327" s="7" t="s">
        <v>262</v>
      </c>
      <c r="D327" s="7" t="s">
        <v>263</v>
      </c>
      <c r="E327" s="7" t="s">
        <v>266</v>
      </c>
      <c r="F327" s="22" t="s">
        <v>267</v>
      </c>
      <c r="G327" s="35">
        <v>286</v>
      </c>
      <c r="H327" s="35">
        <f t="shared" si="4"/>
        <v>42900</v>
      </c>
      <c r="I327" s="34">
        <v>44819</v>
      </c>
      <c r="J327" s="34">
        <v>44865</v>
      </c>
    </row>
    <row r="328" spans="1:10">
      <c r="A328" s="13" t="s">
        <v>393</v>
      </c>
      <c r="B328" s="13" t="s">
        <v>383</v>
      </c>
      <c r="C328" s="7" t="s">
        <v>262</v>
      </c>
      <c r="D328" s="7" t="s">
        <v>268</v>
      </c>
      <c r="E328" s="7" t="s">
        <v>269</v>
      </c>
      <c r="F328" s="1" t="s">
        <v>270</v>
      </c>
      <c r="G328" s="35">
        <v>520</v>
      </c>
      <c r="H328" s="35">
        <f t="shared" si="4"/>
        <v>78000</v>
      </c>
      <c r="I328" s="34">
        <v>44819</v>
      </c>
      <c r="J328" s="34">
        <v>44865</v>
      </c>
    </row>
    <row r="329" spans="1:10">
      <c r="A329" s="13" t="s">
        <v>393</v>
      </c>
      <c r="B329" s="13" t="s">
        <v>384</v>
      </c>
      <c r="C329" s="1" t="s">
        <v>271</v>
      </c>
      <c r="D329" s="1" t="s">
        <v>272</v>
      </c>
      <c r="E329" s="1"/>
      <c r="F329" s="1" t="s">
        <v>273</v>
      </c>
      <c r="G329" s="35">
        <v>70</v>
      </c>
      <c r="H329" s="35">
        <f t="shared" si="4"/>
        <v>10500</v>
      </c>
      <c r="I329" s="34">
        <v>44819</v>
      </c>
      <c r="J329" s="34">
        <v>44865</v>
      </c>
    </row>
    <row r="330" spans="1:10">
      <c r="A330" s="13" t="s">
        <v>393</v>
      </c>
      <c r="B330" s="13" t="s">
        <v>384</v>
      </c>
      <c r="C330" s="1" t="s">
        <v>274</v>
      </c>
      <c r="D330" s="9" t="s">
        <v>275</v>
      </c>
      <c r="E330" s="1"/>
      <c r="F330" s="1" t="s">
        <v>276</v>
      </c>
      <c r="G330" s="35">
        <v>25</v>
      </c>
      <c r="H330" s="35">
        <f t="shared" si="4"/>
        <v>3750</v>
      </c>
      <c r="I330" s="34">
        <v>44819</v>
      </c>
      <c r="J330" s="34">
        <v>44865</v>
      </c>
    </row>
    <row r="331" spans="1:10">
      <c r="A331" s="13" t="s">
        <v>393</v>
      </c>
      <c r="B331" s="13" t="s">
        <v>384</v>
      </c>
      <c r="C331" s="7" t="s">
        <v>277</v>
      </c>
      <c r="D331" s="7" t="s">
        <v>278</v>
      </c>
      <c r="E331" s="7" t="s">
        <v>121</v>
      </c>
      <c r="F331" s="1" t="s">
        <v>279</v>
      </c>
      <c r="G331" s="35">
        <v>33</v>
      </c>
      <c r="H331" s="35">
        <f t="shared" si="4"/>
        <v>4950</v>
      </c>
      <c r="I331" s="34">
        <v>44819</v>
      </c>
      <c r="J331" s="34">
        <v>44865</v>
      </c>
    </row>
    <row r="332" spans="1:10">
      <c r="A332" s="13" t="s">
        <v>393</v>
      </c>
      <c r="B332" s="13" t="s">
        <v>384</v>
      </c>
      <c r="C332" s="7" t="s">
        <v>277</v>
      </c>
      <c r="D332" s="7" t="s">
        <v>278</v>
      </c>
      <c r="E332" s="7" t="s">
        <v>121</v>
      </c>
      <c r="F332" s="1" t="s">
        <v>279</v>
      </c>
      <c r="G332" s="35">
        <v>33</v>
      </c>
      <c r="H332" s="35">
        <f t="shared" si="4"/>
        <v>4950</v>
      </c>
      <c r="I332" s="34">
        <v>44819</v>
      </c>
      <c r="J332" s="34">
        <v>44865</v>
      </c>
    </row>
    <row r="333" spans="1:10">
      <c r="A333" s="13" t="s">
        <v>393</v>
      </c>
      <c r="B333" s="13" t="s">
        <v>384</v>
      </c>
      <c r="C333" s="7" t="s">
        <v>277</v>
      </c>
      <c r="D333" s="7" t="s">
        <v>278</v>
      </c>
      <c r="E333" s="7" t="s">
        <v>121</v>
      </c>
      <c r="F333" s="1" t="s">
        <v>279</v>
      </c>
      <c r="G333" s="35">
        <v>33</v>
      </c>
      <c r="H333" s="35">
        <f t="shared" si="4"/>
        <v>4950</v>
      </c>
      <c r="I333" s="34">
        <v>44819</v>
      </c>
      <c r="J333" s="34">
        <v>44865</v>
      </c>
    </row>
    <row r="334" spans="1:10">
      <c r="A334" s="13" t="s">
        <v>393</v>
      </c>
      <c r="B334" s="13" t="s">
        <v>384</v>
      </c>
      <c r="C334" s="7" t="s">
        <v>277</v>
      </c>
      <c r="D334" s="7" t="s">
        <v>278</v>
      </c>
      <c r="E334" s="7" t="s">
        <v>121</v>
      </c>
      <c r="F334" s="1" t="s">
        <v>279</v>
      </c>
      <c r="G334" s="35">
        <v>33</v>
      </c>
      <c r="H334" s="35">
        <f t="shared" si="4"/>
        <v>4950</v>
      </c>
      <c r="I334" s="34">
        <v>44819</v>
      </c>
      <c r="J334" s="34">
        <v>44865</v>
      </c>
    </row>
    <row r="335" spans="1:10">
      <c r="A335" s="13" t="s">
        <v>393</v>
      </c>
      <c r="B335" s="13" t="s">
        <v>384</v>
      </c>
      <c r="C335" s="7" t="s">
        <v>277</v>
      </c>
      <c r="D335" s="7" t="s">
        <v>278</v>
      </c>
      <c r="E335" s="7" t="s">
        <v>121</v>
      </c>
      <c r="F335" s="1" t="s">
        <v>279</v>
      </c>
      <c r="G335" s="35">
        <v>33</v>
      </c>
      <c r="H335" s="35">
        <f t="shared" si="4"/>
        <v>4950</v>
      </c>
      <c r="I335" s="34">
        <v>44819</v>
      </c>
      <c r="J335" s="34">
        <v>44865</v>
      </c>
    </row>
    <row r="336" spans="1:10">
      <c r="A336" s="13" t="s">
        <v>393</v>
      </c>
      <c r="B336" s="13" t="s">
        <v>384</v>
      </c>
      <c r="C336" s="7" t="s">
        <v>277</v>
      </c>
      <c r="D336" s="7" t="s">
        <v>278</v>
      </c>
      <c r="E336" s="7" t="s">
        <v>121</v>
      </c>
      <c r="F336" s="1" t="s">
        <v>279</v>
      </c>
      <c r="G336" s="35">
        <v>33</v>
      </c>
      <c r="H336" s="35">
        <f t="shared" si="4"/>
        <v>4950</v>
      </c>
      <c r="I336" s="34">
        <v>44819</v>
      </c>
      <c r="J336" s="34">
        <v>44865</v>
      </c>
    </row>
    <row r="337" spans="1:10">
      <c r="A337" s="13" t="s">
        <v>393</v>
      </c>
      <c r="B337" s="13" t="s">
        <v>384</v>
      </c>
      <c r="C337" s="1" t="s">
        <v>280</v>
      </c>
      <c r="D337" s="7" t="s">
        <v>281</v>
      </c>
      <c r="E337" s="7"/>
      <c r="F337" s="24" t="s">
        <v>282</v>
      </c>
      <c r="G337" s="35">
        <v>115</v>
      </c>
      <c r="H337" s="35">
        <f t="shared" si="4"/>
        <v>17250</v>
      </c>
      <c r="I337" s="34">
        <v>44819</v>
      </c>
      <c r="J337" s="34">
        <v>44865</v>
      </c>
    </row>
    <row r="338" spans="1:10">
      <c r="A338" s="13" t="s">
        <v>393</v>
      </c>
      <c r="B338" s="13" t="s">
        <v>384</v>
      </c>
      <c r="C338" s="1" t="s">
        <v>283</v>
      </c>
      <c r="D338" s="7" t="s">
        <v>284</v>
      </c>
      <c r="E338" s="7"/>
      <c r="F338" s="24" t="s">
        <v>285</v>
      </c>
      <c r="G338" s="35">
        <v>300</v>
      </c>
      <c r="H338" s="35">
        <f t="shared" si="4"/>
        <v>45000</v>
      </c>
      <c r="I338" s="34">
        <v>44819</v>
      </c>
      <c r="J338" s="34">
        <v>44865</v>
      </c>
    </row>
    <row r="339" spans="1:10">
      <c r="A339" s="13" t="s">
        <v>393</v>
      </c>
      <c r="B339" s="13" t="s">
        <v>384</v>
      </c>
      <c r="C339" s="1" t="s">
        <v>283</v>
      </c>
      <c r="D339" s="7" t="s">
        <v>284</v>
      </c>
      <c r="E339" s="7"/>
      <c r="F339" s="24" t="s">
        <v>285</v>
      </c>
      <c r="G339" s="35">
        <v>300</v>
      </c>
      <c r="H339" s="35">
        <f t="shared" si="4"/>
        <v>45000</v>
      </c>
      <c r="I339" s="34">
        <v>44819</v>
      </c>
      <c r="J339" s="34">
        <v>44865</v>
      </c>
    </row>
    <row r="340" spans="1:10">
      <c r="A340" s="13" t="s">
        <v>393</v>
      </c>
      <c r="B340" s="13" t="s">
        <v>385</v>
      </c>
      <c r="C340" s="1" t="s">
        <v>286</v>
      </c>
      <c r="D340" s="1" t="s">
        <v>287</v>
      </c>
      <c r="E340" s="1" t="s">
        <v>232</v>
      </c>
      <c r="F340" s="1" t="s">
        <v>288</v>
      </c>
      <c r="G340" s="35">
        <v>325</v>
      </c>
      <c r="H340" s="35">
        <f t="shared" si="4"/>
        <v>48750</v>
      </c>
      <c r="I340" s="34">
        <v>44819</v>
      </c>
      <c r="J340" s="34">
        <v>44865</v>
      </c>
    </row>
    <row r="341" spans="1:10">
      <c r="A341" s="13" t="s">
        <v>393</v>
      </c>
      <c r="B341" s="13" t="s">
        <v>385</v>
      </c>
      <c r="C341" s="1" t="s">
        <v>286</v>
      </c>
      <c r="D341" s="1" t="s">
        <v>289</v>
      </c>
      <c r="E341" s="1" t="s">
        <v>121</v>
      </c>
      <c r="F341" s="1" t="s">
        <v>290</v>
      </c>
      <c r="G341" s="35">
        <v>65</v>
      </c>
      <c r="H341" s="35">
        <f t="shared" si="4"/>
        <v>9750</v>
      </c>
      <c r="I341" s="34">
        <v>44819</v>
      </c>
      <c r="J341" s="34">
        <v>44865</v>
      </c>
    </row>
    <row r="342" spans="1:10">
      <c r="A342" s="13" t="s">
        <v>393</v>
      </c>
      <c r="B342" s="13" t="s">
        <v>385</v>
      </c>
      <c r="C342" s="1" t="s">
        <v>286</v>
      </c>
      <c r="D342" s="1" t="s">
        <v>291</v>
      </c>
      <c r="E342" s="1" t="s">
        <v>121</v>
      </c>
      <c r="F342" s="1" t="s">
        <v>292</v>
      </c>
      <c r="G342" s="35">
        <v>65</v>
      </c>
      <c r="H342" s="35">
        <f t="shared" si="4"/>
        <v>9750</v>
      </c>
      <c r="I342" s="34">
        <v>44819</v>
      </c>
      <c r="J342" s="34">
        <v>44865</v>
      </c>
    </row>
    <row r="343" spans="1:10">
      <c r="A343" s="13" t="s">
        <v>393</v>
      </c>
      <c r="B343" s="13" t="s">
        <v>385</v>
      </c>
      <c r="C343" s="1" t="s">
        <v>286</v>
      </c>
      <c r="D343" s="1" t="s">
        <v>291</v>
      </c>
      <c r="E343" s="1" t="s">
        <v>121</v>
      </c>
      <c r="F343" s="1" t="s">
        <v>292</v>
      </c>
      <c r="G343" s="35">
        <v>65</v>
      </c>
      <c r="H343" s="35">
        <f t="shared" si="4"/>
        <v>9750</v>
      </c>
      <c r="I343" s="34">
        <v>44819</v>
      </c>
      <c r="J343" s="34">
        <v>44865</v>
      </c>
    </row>
    <row r="344" spans="1:10">
      <c r="A344" s="13" t="s">
        <v>393</v>
      </c>
      <c r="B344" s="13" t="s">
        <v>386</v>
      </c>
      <c r="C344" s="1" t="s">
        <v>293</v>
      </c>
      <c r="D344" s="1">
        <v>30</v>
      </c>
      <c r="E344" s="1">
        <v>1</v>
      </c>
      <c r="F344" s="1" t="s">
        <v>294</v>
      </c>
      <c r="G344" s="35">
        <v>240</v>
      </c>
      <c r="H344" s="35">
        <f t="shared" si="4"/>
        <v>36000</v>
      </c>
      <c r="I344" s="34">
        <v>44819</v>
      </c>
      <c r="J344" s="34">
        <v>44865</v>
      </c>
    </row>
    <row r="345" spans="1:10">
      <c r="A345" s="13" t="s">
        <v>393</v>
      </c>
      <c r="B345" s="13" t="s">
        <v>386</v>
      </c>
      <c r="C345" s="1" t="s">
        <v>293</v>
      </c>
      <c r="D345" s="1">
        <v>30</v>
      </c>
      <c r="E345" s="1">
        <v>1</v>
      </c>
      <c r="F345" s="1" t="s">
        <v>295</v>
      </c>
      <c r="G345" s="35">
        <v>240</v>
      </c>
      <c r="H345" s="35">
        <f t="shared" si="4"/>
        <v>36000</v>
      </c>
      <c r="I345" s="34">
        <v>44819</v>
      </c>
      <c r="J345" s="34">
        <v>44865</v>
      </c>
    </row>
    <row r="346" spans="1:10">
      <c r="A346" s="13" t="s">
        <v>393</v>
      </c>
      <c r="B346" s="13" t="s">
        <v>386</v>
      </c>
      <c r="C346" s="1" t="s">
        <v>293</v>
      </c>
      <c r="D346" s="1">
        <v>15</v>
      </c>
      <c r="E346" s="1">
        <v>1</v>
      </c>
      <c r="F346" s="1" t="s">
        <v>296</v>
      </c>
      <c r="G346" s="35">
        <v>80</v>
      </c>
      <c r="H346" s="35">
        <f t="shared" si="4"/>
        <v>12000</v>
      </c>
      <c r="I346" s="34">
        <v>44819</v>
      </c>
      <c r="J346" s="34">
        <v>44865</v>
      </c>
    </row>
    <row r="347" spans="1:10">
      <c r="A347" s="13" t="s">
        <v>393</v>
      </c>
      <c r="B347" s="13" t="s">
        <v>386</v>
      </c>
      <c r="C347" s="1" t="s">
        <v>293</v>
      </c>
      <c r="D347" s="1">
        <v>15</v>
      </c>
      <c r="E347" s="1">
        <v>1</v>
      </c>
      <c r="F347" s="1" t="s">
        <v>297</v>
      </c>
      <c r="G347" s="35">
        <v>120</v>
      </c>
      <c r="H347" s="35">
        <f t="shared" si="4"/>
        <v>18000</v>
      </c>
      <c r="I347" s="34">
        <v>44819</v>
      </c>
      <c r="J347" s="34">
        <v>44865</v>
      </c>
    </row>
    <row r="348" spans="1:10">
      <c r="A348" s="13" t="s">
        <v>393</v>
      </c>
      <c r="B348" s="13" t="s">
        <v>386</v>
      </c>
      <c r="C348" s="1" t="s">
        <v>293</v>
      </c>
      <c r="D348" s="2">
        <v>5</v>
      </c>
      <c r="E348" s="1">
        <v>1</v>
      </c>
      <c r="F348" s="1" t="s">
        <v>298</v>
      </c>
      <c r="G348" s="35">
        <v>40</v>
      </c>
      <c r="H348" s="35">
        <f t="shared" si="4"/>
        <v>6000</v>
      </c>
      <c r="I348" s="34">
        <v>44819</v>
      </c>
      <c r="J348" s="34">
        <v>44865</v>
      </c>
    </row>
    <row r="349" spans="1:10">
      <c r="A349" s="13" t="s">
        <v>393</v>
      </c>
      <c r="B349" s="13" t="s">
        <v>386</v>
      </c>
      <c r="C349" s="1" t="s">
        <v>293</v>
      </c>
      <c r="D349" s="2">
        <v>5</v>
      </c>
      <c r="E349" s="1">
        <v>1</v>
      </c>
      <c r="F349" s="1" t="s">
        <v>298</v>
      </c>
      <c r="G349" s="35">
        <v>40</v>
      </c>
      <c r="H349" s="35">
        <f t="shared" si="4"/>
        <v>6000</v>
      </c>
      <c r="I349" s="34">
        <v>44819</v>
      </c>
      <c r="J349" s="34">
        <v>44865</v>
      </c>
    </row>
    <row r="350" spans="1:10">
      <c r="A350" s="13" t="s">
        <v>393</v>
      </c>
      <c r="B350" s="13" t="s">
        <v>299</v>
      </c>
      <c r="C350" s="1" t="s">
        <v>300</v>
      </c>
      <c r="D350" s="1">
        <v>20</v>
      </c>
      <c r="E350" s="1">
        <v>1</v>
      </c>
      <c r="F350" s="1" t="s">
        <v>301</v>
      </c>
      <c r="G350" s="35">
        <v>100</v>
      </c>
      <c r="H350" s="35">
        <f t="shared" si="4"/>
        <v>15000</v>
      </c>
      <c r="I350" s="34">
        <v>44819</v>
      </c>
      <c r="J350" s="34">
        <v>44865</v>
      </c>
    </row>
    <row r="351" spans="1:10">
      <c r="A351" s="13" t="s">
        <v>393</v>
      </c>
      <c r="B351" s="13" t="s">
        <v>299</v>
      </c>
      <c r="C351" s="1" t="s">
        <v>300</v>
      </c>
      <c r="D351" s="1">
        <v>20</v>
      </c>
      <c r="E351" s="1">
        <v>1</v>
      </c>
      <c r="F351" s="1" t="s">
        <v>301</v>
      </c>
      <c r="G351" s="35">
        <v>100</v>
      </c>
      <c r="H351" s="35">
        <f t="shared" si="4"/>
        <v>15000</v>
      </c>
      <c r="I351" s="34">
        <v>44819</v>
      </c>
      <c r="J351" s="34">
        <v>44865</v>
      </c>
    </row>
    <row r="352" spans="1:10">
      <c r="A352" s="13" t="s">
        <v>393</v>
      </c>
      <c r="B352" s="13" t="s">
        <v>299</v>
      </c>
      <c r="C352" s="1" t="s">
        <v>300</v>
      </c>
      <c r="D352" s="1">
        <v>15</v>
      </c>
      <c r="E352" s="1">
        <v>1</v>
      </c>
      <c r="F352" s="1" t="s">
        <v>301</v>
      </c>
      <c r="G352" s="35">
        <v>80</v>
      </c>
      <c r="H352" s="35">
        <f t="shared" si="4"/>
        <v>12000</v>
      </c>
      <c r="I352" s="34">
        <v>44819</v>
      </c>
      <c r="J352" s="34">
        <v>44865</v>
      </c>
    </row>
    <row r="353" spans="1:10">
      <c r="A353" s="13" t="s">
        <v>393</v>
      </c>
      <c r="B353" s="13" t="s">
        <v>299</v>
      </c>
      <c r="C353" s="1" t="s">
        <v>300</v>
      </c>
      <c r="D353" s="1">
        <v>15</v>
      </c>
      <c r="E353" s="1">
        <v>1</v>
      </c>
      <c r="F353" s="1" t="s">
        <v>301</v>
      </c>
      <c r="G353" s="35">
        <v>80</v>
      </c>
      <c r="H353" s="35">
        <f t="shared" si="4"/>
        <v>12000</v>
      </c>
      <c r="I353" s="34">
        <v>44819</v>
      </c>
      <c r="J353" s="34">
        <v>44865</v>
      </c>
    </row>
    <row r="354" spans="1:10">
      <c r="A354" s="13" t="s">
        <v>393</v>
      </c>
      <c r="B354" s="13" t="s">
        <v>299</v>
      </c>
      <c r="C354" s="1" t="s">
        <v>300</v>
      </c>
      <c r="D354" s="1">
        <v>1.5</v>
      </c>
      <c r="E354" s="1">
        <v>1</v>
      </c>
      <c r="F354" s="1" t="s">
        <v>301</v>
      </c>
      <c r="G354" s="35">
        <v>50</v>
      </c>
      <c r="H354" s="35">
        <f t="shared" si="4"/>
        <v>7500</v>
      </c>
      <c r="I354" s="34">
        <v>44819</v>
      </c>
      <c r="J354" s="34">
        <v>44865</v>
      </c>
    </row>
    <row r="355" spans="1:10">
      <c r="A355" s="13" t="s">
        <v>393</v>
      </c>
      <c r="B355" s="13" t="s">
        <v>299</v>
      </c>
      <c r="C355" s="1" t="s">
        <v>300</v>
      </c>
      <c r="D355" s="1">
        <v>1.5</v>
      </c>
      <c r="E355" s="1">
        <v>1</v>
      </c>
      <c r="F355" s="1" t="s">
        <v>301</v>
      </c>
      <c r="G355" s="35">
        <v>50</v>
      </c>
      <c r="H355" s="35">
        <f t="shared" si="4"/>
        <v>7500</v>
      </c>
      <c r="I355" s="34">
        <v>44819</v>
      </c>
      <c r="J355" s="34">
        <v>44865</v>
      </c>
    </row>
    <row r="356" spans="1:10">
      <c r="A356" s="13" t="s">
        <v>393</v>
      </c>
      <c r="B356" s="13" t="s">
        <v>299</v>
      </c>
      <c r="C356" s="1" t="s">
        <v>302</v>
      </c>
      <c r="D356" s="1">
        <v>0.3</v>
      </c>
      <c r="E356" s="1">
        <v>1</v>
      </c>
      <c r="F356" s="1" t="s">
        <v>303</v>
      </c>
      <c r="G356" s="35">
        <v>20</v>
      </c>
      <c r="H356" s="35">
        <f t="shared" si="4"/>
        <v>3000</v>
      </c>
      <c r="I356" s="34">
        <v>44819</v>
      </c>
      <c r="J356" s="34">
        <v>44865</v>
      </c>
    </row>
    <row r="357" spans="1:10">
      <c r="A357" s="13" t="s">
        <v>393</v>
      </c>
      <c r="B357" s="13" t="s">
        <v>299</v>
      </c>
      <c r="C357" s="1" t="s">
        <v>302</v>
      </c>
      <c r="D357" s="1">
        <v>0.3</v>
      </c>
      <c r="E357" s="1">
        <v>1</v>
      </c>
      <c r="F357" s="1" t="s">
        <v>303</v>
      </c>
      <c r="G357" s="35">
        <v>20</v>
      </c>
      <c r="H357" s="35">
        <f t="shared" si="4"/>
        <v>3000</v>
      </c>
      <c r="I357" s="34">
        <v>44819</v>
      </c>
      <c r="J357" s="34">
        <v>44865</v>
      </c>
    </row>
    <row r="358" spans="1:10">
      <c r="A358" s="13" t="s">
        <v>393</v>
      </c>
      <c r="B358" s="13" t="s">
        <v>387</v>
      </c>
      <c r="C358" s="1" t="s">
        <v>304</v>
      </c>
      <c r="D358" s="1" t="s">
        <v>305</v>
      </c>
      <c r="E358" s="1">
        <v>1</v>
      </c>
      <c r="F358" s="1" t="s">
        <v>306</v>
      </c>
      <c r="G358" s="35">
        <v>100</v>
      </c>
      <c r="H358" s="35">
        <f t="shared" si="4"/>
        <v>15000</v>
      </c>
      <c r="I358" s="34">
        <v>44819</v>
      </c>
      <c r="J358" s="34">
        <v>44865</v>
      </c>
    </row>
    <row r="359" spans="1:10">
      <c r="A359" s="13" t="s">
        <v>393</v>
      </c>
      <c r="B359" s="13" t="s">
        <v>388</v>
      </c>
      <c r="C359" s="1" t="s">
        <v>293</v>
      </c>
      <c r="D359" s="7" t="s">
        <v>307</v>
      </c>
      <c r="E359" s="7">
        <v>2</v>
      </c>
      <c r="F359" s="7" t="s">
        <v>308</v>
      </c>
      <c r="G359" s="35">
        <v>13</v>
      </c>
      <c r="H359" s="35">
        <f t="shared" si="4"/>
        <v>1950</v>
      </c>
      <c r="I359" s="34">
        <v>44819</v>
      </c>
      <c r="J359" s="34">
        <v>44865</v>
      </c>
    </row>
    <row r="360" spans="1:10">
      <c r="A360" s="13" t="s">
        <v>393</v>
      </c>
      <c r="B360" s="13" t="s">
        <v>388</v>
      </c>
      <c r="C360" s="7" t="s">
        <v>309</v>
      </c>
      <c r="D360" s="7" t="s">
        <v>307</v>
      </c>
      <c r="E360" s="7">
        <v>2</v>
      </c>
      <c r="F360" s="7" t="s">
        <v>308</v>
      </c>
      <c r="G360" s="35">
        <v>13</v>
      </c>
      <c r="H360" s="35">
        <f t="shared" si="4"/>
        <v>1950</v>
      </c>
      <c r="I360" s="34">
        <v>44819</v>
      </c>
      <c r="J360" s="34">
        <v>44865</v>
      </c>
    </row>
    <row r="361" spans="1:10">
      <c r="A361" s="13" t="s">
        <v>393</v>
      </c>
      <c r="B361" s="13" t="s">
        <v>388</v>
      </c>
      <c r="C361" s="7" t="s">
        <v>310</v>
      </c>
      <c r="D361" s="7" t="s">
        <v>307</v>
      </c>
      <c r="E361" s="7">
        <v>2</v>
      </c>
      <c r="F361" s="7" t="s">
        <v>308</v>
      </c>
      <c r="G361" s="35">
        <v>13</v>
      </c>
      <c r="H361" s="35">
        <f t="shared" si="4"/>
        <v>1950</v>
      </c>
      <c r="I361" s="34">
        <v>44819</v>
      </c>
      <c r="J361" s="34">
        <v>44865</v>
      </c>
    </row>
    <row r="362" spans="1:10">
      <c r="A362" s="13" t="s">
        <v>393</v>
      </c>
      <c r="B362" s="13" t="s">
        <v>388</v>
      </c>
      <c r="C362" s="7" t="s">
        <v>311</v>
      </c>
      <c r="D362" s="7" t="s">
        <v>307</v>
      </c>
      <c r="E362" s="7">
        <v>2</v>
      </c>
      <c r="F362" s="7" t="s">
        <v>308</v>
      </c>
      <c r="G362" s="35">
        <v>13</v>
      </c>
      <c r="H362" s="35">
        <f t="shared" si="4"/>
        <v>1950</v>
      </c>
      <c r="I362" s="34">
        <v>44819</v>
      </c>
      <c r="J362" s="34">
        <v>44865</v>
      </c>
    </row>
    <row r="363" spans="1:10">
      <c r="A363" s="13" t="s">
        <v>393</v>
      </c>
      <c r="B363" s="13" t="s">
        <v>388</v>
      </c>
      <c r="C363" s="7" t="s">
        <v>312</v>
      </c>
      <c r="D363" s="7" t="s">
        <v>307</v>
      </c>
      <c r="E363" s="7">
        <v>2</v>
      </c>
      <c r="F363" s="7" t="s">
        <v>308</v>
      </c>
      <c r="G363" s="35">
        <v>13</v>
      </c>
      <c r="H363" s="35">
        <f t="shared" si="4"/>
        <v>1950</v>
      </c>
      <c r="I363" s="34">
        <v>44819</v>
      </c>
      <c r="J363" s="34">
        <v>44865</v>
      </c>
    </row>
    <row r="364" spans="1:10">
      <c r="A364" s="13" t="s">
        <v>393</v>
      </c>
      <c r="B364" s="13" t="s">
        <v>388</v>
      </c>
      <c r="C364" s="7" t="s">
        <v>313</v>
      </c>
      <c r="D364" s="7" t="s">
        <v>307</v>
      </c>
      <c r="E364" s="7">
        <v>2</v>
      </c>
      <c r="F364" s="7" t="s">
        <v>314</v>
      </c>
      <c r="G364" s="35">
        <v>13</v>
      </c>
      <c r="H364" s="35">
        <f t="shared" si="4"/>
        <v>1950</v>
      </c>
      <c r="I364" s="34">
        <v>44819</v>
      </c>
      <c r="J364" s="34">
        <v>44865</v>
      </c>
    </row>
    <row r="365" spans="1:10">
      <c r="A365" s="13" t="s">
        <v>393</v>
      </c>
      <c r="B365" s="13" t="s">
        <v>388</v>
      </c>
      <c r="C365" s="7" t="s">
        <v>315</v>
      </c>
      <c r="D365" s="7" t="s">
        <v>307</v>
      </c>
      <c r="E365" s="7">
        <v>1</v>
      </c>
      <c r="F365" s="7" t="s">
        <v>308</v>
      </c>
      <c r="G365" s="35">
        <v>13</v>
      </c>
      <c r="H365" s="35">
        <f t="shared" si="4"/>
        <v>1950</v>
      </c>
      <c r="I365" s="34">
        <v>44819</v>
      </c>
      <c r="J365" s="34">
        <v>44865</v>
      </c>
    </row>
    <row r="366" spans="1:10">
      <c r="A366" s="13" t="s">
        <v>393</v>
      </c>
      <c r="B366" s="13" t="s">
        <v>388</v>
      </c>
      <c r="C366" s="7" t="s">
        <v>316</v>
      </c>
      <c r="D366" s="7" t="s">
        <v>317</v>
      </c>
      <c r="E366" s="7">
        <v>1</v>
      </c>
      <c r="F366" s="7" t="s">
        <v>308</v>
      </c>
      <c r="G366" s="35">
        <v>13</v>
      </c>
      <c r="H366" s="35">
        <f t="shared" si="4"/>
        <v>1950</v>
      </c>
      <c r="I366" s="34">
        <v>44819</v>
      </c>
      <c r="J366" s="34">
        <v>44865</v>
      </c>
    </row>
    <row r="367" spans="1:10">
      <c r="A367" s="13" t="s">
        <v>393</v>
      </c>
      <c r="B367" s="13" t="s">
        <v>388</v>
      </c>
      <c r="C367" s="7" t="s">
        <v>318</v>
      </c>
      <c r="D367" s="7" t="s">
        <v>317</v>
      </c>
      <c r="E367" s="7">
        <v>1</v>
      </c>
      <c r="F367" s="7" t="s">
        <v>308</v>
      </c>
      <c r="G367" s="35">
        <v>13</v>
      </c>
      <c r="H367" s="35">
        <f t="shared" si="4"/>
        <v>1950</v>
      </c>
      <c r="I367" s="34">
        <v>44819</v>
      </c>
      <c r="J367" s="34">
        <v>44865</v>
      </c>
    </row>
    <row r="368" spans="1:10">
      <c r="A368" s="13" t="s">
        <v>393</v>
      </c>
      <c r="B368" s="13" t="s">
        <v>388</v>
      </c>
      <c r="C368" s="7" t="s">
        <v>319</v>
      </c>
      <c r="D368" s="7" t="s">
        <v>320</v>
      </c>
      <c r="E368" s="7">
        <v>1</v>
      </c>
      <c r="F368" s="7" t="s">
        <v>321</v>
      </c>
      <c r="G368" s="35">
        <v>13</v>
      </c>
      <c r="H368" s="35">
        <f t="shared" si="4"/>
        <v>1950</v>
      </c>
      <c r="I368" s="34">
        <v>44819</v>
      </c>
      <c r="J368" s="34">
        <v>44865</v>
      </c>
    </row>
    <row r="369" spans="1:10">
      <c r="A369" s="13" t="s">
        <v>393</v>
      </c>
      <c r="B369" s="13" t="s">
        <v>388</v>
      </c>
      <c r="C369" s="7" t="s">
        <v>322</v>
      </c>
      <c r="D369" s="7" t="s">
        <v>323</v>
      </c>
      <c r="E369" s="7">
        <v>1</v>
      </c>
      <c r="F369" s="7" t="s">
        <v>308</v>
      </c>
      <c r="G369" s="35">
        <v>13</v>
      </c>
      <c r="H369" s="35">
        <f t="shared" si="4"/>
        <v>1950</v>
      </c>
      <c r="I369" s="34">
        <v>44819</v>
      </c>
      <c r="J369" s="34">
        <v>44865</v>
      </c>
    </row>
    <row r="370" spans="1:10">
      <c r="A370" s="13" t="s">
        <v>393</v>
      </c>
      <c r="B370" s="13" t="s">
        <v>388</v>
      </c>
      <c r="C370" s="7" t="s">
        <v>324</v>
      </c>
      <c r="D370" s="7" t="s">
        <v>323</v>
      </c>
      <c r="E370" s="7">
        <v>1</v>
      </c>
      <c r="F370" s="7" t="s">
        <v>308</v>
      </c>
      <c r="G370" s="35">
        <v>13</v>
      </c>
      <c r="H370" s="35">
        <f t="shared" si="4"/>
        <v>1950</v>
      </c>
      <c r="I370" s="34">
        <v>44819</v>
      </c>
      <c r="J370" s="34">
        <v>44865</v>
      </c>
    </row>
    <row r="371" spans="1:10">
      <c r="A371" s="13" t="s">
        <v>393</v>
      </c>
      <c r="B371" s="13" t="s">
        <v>388</v>
      </c>
      <c r="C371" s="7" t="s">
        <v>325</v>
      </c>
      <c r="D371" s="7" t="s">
        <v>323</v>
      </c>
      <c r="E371" s="7">
        <v>1</v>
      </c>
      <c r="F371" s="7" t="s">
        <v>308</v>
      </c>
      <c r="G371" s="35">
        <v>13</v>
      </c>
      <c r="H371" s="35">
        <f t="shared" si="4"/>
        <v>1950</v>
      </c>
      <c r="I371" s="34">
        <v>44819</v>
      </c>
      <c r="J371" s="34">
        <v>44865</v>
      </c>
    </row>
    <row r="372" spans="1:10">
      <c r="A372" s="13" t="s">
        <v>393</v>
      </c>
      <c r="B372" s="13" t="s">
        <v>388</v>
      </c>
      <c r="C372" s="7" t="s">
        <v>326</v>
      </c>
      <c r="D372" s="7" t="s">
        <v>323</v>
      </c>
      <c r="E372" s="7">
        <v>1</v>
      </c>
      <c r="F372" s="7" t="s">
        <v>314</v>
      </c>
      <c r="G372" s="35">
        <v>13</v>
      </c>
      <c r="H372" s="35">
        <f t="shared" si="4"/>
        <v>1950</v>
      </c>
      <c r="I372" s="34">
        <v>44819</v>
      </c>
      <c r="J372" s="34">
        <v>44865</v>
      </c>
    </row>
    <row r="373" spans="1:10">
      <c r="A373" s="13" t="s">
        <v>393</v>
      </c>
      <c r="B373" s="13" t="s">
        <v>388</v>
      </c>
      <c r="C373" s="7" t="s">
        <v>327</v>
      </c>
      <c r="D373" s="7" t="s">
        <v>323</v>
      </c>
      <c r="E373" s="7">
        <v>1</v>
      </c>
      <c r="F373" s="7" t="s">
        <v>314</v>
      </c>
      <c r="G373" s="35">
        <v>13</v>
      </c>
      <c r="H373" s="35">
        <f t="shared" si="4"/>
        <v>1950</v>
      </c>
      <c r="I373" s="34">
        <v>44819</v>
      </c>
      <c r="J373" s="34">
        <v>44865</v>
      </c>
    </row>
    <row r="374" spans="1:10">
      <c r="A374" s="13" t="s">
        <v>393</v>
      </c>
      <c r="B374" s="13" t="s">
        <v>388</v>
      </c>
      <c r="C374" s="7" t="s">
        <v>328</v>
      </c>
      <c r="D374" s="7" t="s">
        <v>323</v>
      </c>
      <c r="E374" s="7">
        <v>1</v>
      </c>
      <c r="F374" s="7" t="s">
        <v>308</v>
      </c>
      <c r="G374" s="35">
        <v>13</v>
      </c>
      <c r="H374" s="35">
        <f t="shared" si="4"/>
        <v>1950</v>
      </c>
      <c r="I374" s="34">
        <v>44819</v>
      </c>
      <c r="J374" s="34">
        <v>44865</v>
      </c>
    </row>
    <row r="375" spans="1:10">
      <c r="A375" s="13" t="s">
        <v>393</v>
      </c>
      <c r="B375" s="13" t="s">
        <v>388</v>
      </c>
      <c r="C375" s="7" t="s">
        <v>329</v>
      </c>
      <c r="D375" s="7" t="s">
        <v>323</v>
      </c>
      <c r="E375" s="7">
        <v>1</v>
      </c>
      <c r="F375" s="7" t="s">
        <v>330</v>
      </c>
      <c r="G375" s="35">
        <v>13</v>
      </c>
      <c r="H375" s="35">
        <f t="shared" ref="H375:H424" si="5">G375*150</f>
        <v>1950</v>
      </c>
      <c r="I375" s="34">
        <v>44819</v>
      </c>
      <c r="J375" s="34">
        <v>44865</v>
      </c>
    </row>
    <row r="376" spans="1:10">
      <c r="A376" s="13" t="s">
        <v>393</v>
      </c>
      <c r="B376" s="13" t="s">
        <v>388</v>
      </c>
      <c r="C376" s="1" t="s">
        <v>331</v>
      </c>
      <c r="D376" s="1" t="s">
        <v>332</v>
      </c>
      <c r="E376" s="7">
        <v>2</v>
      </c>
      <c r="F376" s="1" t="s">
        <v>333</v>
      </c>
      <c r="G376" s="35">
        <v>13</v>
      </c>
      <c r="H376" s="35">
        <f t="shared" si="5"/>
        <v>1950</v>
      </c>
      <c r="I376" s="34">
        <v>44819</v>
      </c>
      <c r="J376" s="34">
        <v>44865</v>
      </c>
    </row>
    <row r="377" spans="1:10">
      <c r="A377" s="13" t="s">
        <v>393</v>
      </c>
      <c r="B377" s="13" t="s">
        <v>388</v>
      </c>
      <c r="C377" s="7" t="s">
        <v>322</v>
      </c>
      <c r="D377" s="7" t="s">
        <v>323</v>
      </c>
      <c r="E377" s="7">
        <v>1</v>
      </c>
      <c r="F377" s="7" t="s">
        <v>308</v>
      </c>
      <c r="G377" s="35">
        <v>13</v>
      </c>
      <c r="H377" s="35">
        <f t="shared" si="5"/>
        <v>1950</v>
      </c>
      <c r="I377" s="34">
        <v>44819</v>
      </c>
      <c r="J377" s="34">
        <v>44865</v>
      </c>
    </row>
    <row r="378" spans="1:10">
      <c r="A378" s="13" t="s">
        <v>393</v>
      </c>
      <c r="B378" s="13" t="s">
        <v>388</v>
      </c>
      <c r="C378" s="7" t="s">
        <v>324</v>
      </c>
      <c r="D378" s="7" t="s">
        <v>323</v>
      </c>
      <c r="E378" s="7">
        <v>1</v>
      </c>
      <c r="F378" s="7" t="s">
        <v>308</v>
      </c>
      <c r="G378" s="35">
        <v>13</v>
      </c>
      <c r="H378" s="35">
        <f t="shared" si="5"/>
        <v>1950</v>
      </c>
      <c r="I378" s="34">
        <v>44819</v>
      </c>
      <c r="J378" s="34">
        <v>44865</v>
      </c>
    </row>
    <row r="379" spans="1:10">
      <c r="A379" s="13" t="s">
        <v>393</v>
      </c>
      <c r="B379" s="13" t="s">
        <v>388</v>
      </c>
      <c r="C379" s="7" t="s">
        <v>325</v>
      </c>
      <c r="D379" s="7" t="s">
        <v>323</v>
      </c>
      <c r="E379" s="7">
        <v>1</v>
      </c>
      <c r="F379" s="7" t="s">
        <v>308</v>
      </c>
      <c r="G379" s="35">
        <v>13</v>
      </c>
      <c r="H379" s="35">
        <f t="shared" si="5"/>
        <v>1950</v>
      </c>
      <c r="I379" s="34">
        <v>44819</v>
      </c>
      <c r="J379" s="34">
        <v>44865</v>
      </c>
    </row>
    <row r="380" spans="1:10">
      <c r="A380" s="13" t="s">
        <v>393</v>
      </c>
      <c r="B380" s="13" t="s">
        <v>388</v>
      </c>
      <c r="C380" s="7" t="s">
        <v>326</v>
      </c>
      <c r="D380" s="7" t="s">
        <v>323</v>
      </c>
      <c r="E380" s="7">
        <v>1</v>
      </c>
      <c r="F380" s="7" t="s">
        <v>314</v>
      </c>
      <c r="G380" s="35">
        <v>13</v>
      </c>
      <c r="H380" s="35">
        <f t="shared" si="5"/>
        <v>1950</v>
      </c>
      <c r="I380" s="34">
        <v>44819</v>
      </c>
      <c r="J380" s="34">
        <v>44865</v>
      </c>
    </row>
    <row r="381" spans="1:10">
      <c r="A381" s="13" t="s">
        <v>393</v>
      </c>
      <c r="B381" s="13" t="s">
        <v>388</v>
      </c>
      <c r="C381" s="7" t="s">
        <v>327</v>
      </c>
      <c r="D381" s="7" t="s">
        <v>323</v>
      </c>
      <c r="E381" s="7">
        <v>1</v>
      </c>
      <c r="F381" s="7" t="s">
        <v>314</v>
      </c>
      <c r="G381" s="35">
        <v>13</v>
      </c>
      <c r="H381" s="35">
        <f t="shared" si="5"/>
        <v>1950</v>
      </c>
      <c r="I381" s="34">
        <v>44819</v>
      </c>
      <c r="J381" s="34">
        <v>44865</v>
      </c>
    </row>
    <row r="382" spans="1:10">
      <c r="A382" s="13" t="s">
        <v>393</v>
      </c>
      <c r="B382" s="13" t="s">
        <v>388</v>
      </c>
      <c r="C382" s="7" t="s">
        <v>328</v>
      </c>
      <c r="D382" s="7" t="s">
        <v>323</v>
      </c>
      <c r="E382" s="7">
        <v>1</v>
      </c>
      <c r="F382" s="7" t="s">
        <v>308</v>
      </c>
      <c r="G382" s="35">
        <v>13</v>
      </c>
      <c r="H382" s="35">
        <f t="shared" si="5"/>
        <v>1950</v>
      </c>
      <c r="I382" s="34">
        <v>44819</v>
      </c>
      <c r="J382" s="34">
        <v>44865</v>
      </c>
    </row>
    <row r="383" spans="1:10">
      <c r="A383" s="13" t="s">
        <v>393</v>
      </c>
      <c r="B383" s="13" t="s">
        <v>388</v>
      </c>
      <c r="C383" s="7" t="s">
        <v>329</v>
      </c>
      <c r="D383" s="7" t="s">
        <v>323</v>
      </c>
      <c r="E383" s="7">
        <v>1</v>
      </c>
      <c r="F383" s="7" t="s">
        <v>330</v>
      </c>
      <c r="G383" s="35">
        <v>13</v>
      </c>
      <c r="H383" s="35">
        <f t="shared" si="5"/>
        <v>1950</v>
      </c>
      <c r="I383" s="34">
        <v>44819</v>
      </c>
      <c r="J383" s="34">
        <v>44865</v>
      </c>
    </row>
    <row r="384" spans="1:10">
      <c r="A384" s="13" t="s">
        <v>393</v>
      </c>
      <c r="B384" s="13" t="s">
        <v>388</v>
      </c>
      <c r="C384" s="1" t="s">
        <v>331</v>
      </c>
      <c r="D384" s="1" t="s">
        <v>332</v>
      </c>
      <c r="E384" s="7">
        <v>2</v>
      </c>
      <c r="F384" s="1" t="s">
        <v>333</v>
      </c>
      <c r="G384" s="35">
        <v>13</v>
      </c>
      <c r="H384" s="35">
        <f t="shared" si="5"/>
        <v>1950</v>
      </c>
      <c r="I384" s="34">
        <v>44819</v>
      </c>
      <c r="J384" s="34">
        <v>44865</v>
      </c>
    </row>
    <row r="385" spans="1:10">
      <c r="A385" s="13" t="s">
        <v>393</v>
      </c>
      <c r="B385" s="13" t="s">
        <v>334</v>
      </c>
      <c r="C385" s="1" t="s">
        <v>335</v>
      </c>
      <c r="D385" s="1" t="s">
        <v>336</v>
      </c>
      <c r="E385" s="1" t="s">
        <v>337</v>
      </c>
      <c r="F385" s="1" t="s">
        <v>338</v>
      </c>
      <c r="G385" s="35">
        <v>500</v>
      </c>
      <c r="H385" s="35">
        <f t="shared" si="5"/>
        <v>75000</v>
      </c>
      <c r="I385" s="34">
        <v>44819</v>
      </c>
      <c r="J385" s="34">
        <v>44865</v>
      </c>
    </row>
    <row r="386" spans="1:10">
      <c r="A386" s="13" t="s">
        <v>393</v>
      </c>
      <c r="B386" s="13" t="s">
        <v>334</v>
      </c>
      <c r="C386" s="7" t="s">
        <v>339</v>
      </c>
      <c r="D386" s="7">
        <v>1610</v>
      </c>
      <c r="E386" s="1" t="s">
        <v>340</v>
      </c>
      <c r="F386" s="7" t="s">
        <v>341</v>
      </c>
      <c r="G386" s="35">
        <v>350</v>
      </c>
      <c r="H386" s="35">
        <f t="shared" si="5"/>
        <v>52500</v>
      </c>
      <c r="I386" s="34">
        <v>44819</v>
      </c>
      <c r="J386" s="34">
        <v>44865</v>
      </c>
    </row>
    <row r="387" spans="1:10">
      <c r="A387" s="13" t="s">
        <v>393</v>
      </c>
      <c r="B387" s="13" t="s">
        <v>334</v>
      </c>
      <c r="C387" s="7" t="s">
        <v>339</v>
      </c>
      <c r="D387" s="7">
        <v>1620</v>
      </c>
      <c r="E387" s="1" t="s">
        <v>340</v>
      </c>
      <c r="F387" s="7" t="s">
        <v>342</v>
      </c>
      <c r="G387" s="35">
        <v>350</v>
      </c>
      <c r="H387" s="35">
        <f t="shared" si="5"/>
        <v>52500</v>
      </c>
      <c r="I387" s="34">
        <v>44819</v>
      </c>
      <c r="J387" s="34">
        <v>44865</v>
      </c>
    </row>
    <row r="388" spans="1:10">
      <c r="A388" s="13" t="s">
        <v>393</v>
      </c>
      <c r="B388" s="13" t="s">
        <v>389</v>
      </c>
      <c r="C388" s="10" t="s">
        <v>343</v>
      </c>
      <c r="D388" s="10" t="s">
        <v>344</v>
      </c>
      <c r="E388" s="10" t="s">
        <v>121</v>
      </c>
      <c r="F388" s="10" t="s">
        <v>345</v>
      </c>
      <c r="G388" s="35">
        <v>150</v>
      </c>
      <c r="H388" s="35">
        <f t="shared" si="5"/>
        <v>22500</v>
      </c>
      <c r="I388" s="34">
        <v>44819</v>
      </c>
      <c r="J388" s="34">
        <v>44865</v>
      </c>
    </row>
    <row r="389" spans="1:10">
      <c r="A389" s="13" t="s">
        <v>393</v>
      </c>
      <c r="B389" s="13" t="s">
        <v>346</v>
      </c>
      <c r="C389" s="10" t="s">
        <v>347</v>
      </c>
      <c r="D389" s="10" t="s">
        <v>348</v>
      </c>
      <c r="E389" s="10" t="s">
        <v>349</v>
      </c>
      <c r="F389" s="10" t="s">
        <v>350</v>
      </c>
      <c r="G389" s="35">
        <v>10</v>
      </c>
      <c r="H389" s="35">
        <f t="shared" si="5"/>
        <v>1500</v>
      </c>
      <c r="I389" s="34">
        <v>44819</v>
      </c>
      <c r="J389" s="34">
        <v>44865</v>
      </c>
    </row>
    <row r="390" spans="1:10">
      <c r="A390" s="13" t="s">
        <v>393</v>
      </c>
      <c r="B390" s="13" t="s">
        <v>346</v>
      </c>
      <c r="C390" s="10" t="s">
        <v>351</v>
      </c>
      <c r="D390" s="10" t="s">
        <v>348</v>
      </c>
      <c r="E390" s="10" t="s">
        <v>349</v>
      </c>
      <c r="F390" s="10" t="s">
        <v>350</v>
      </c>
      <c r="G390" s="35">
        <v>10</v>
      </c>
      <c r="H390" s="35">
        <f t="shared" si="5"/>
        <v>1500</v>
      </c>
      <c r="I390" s="34">
        <v>44819</v>
      </c>
      <c r="J390" s="34">
        <v>44865</v>
      </c>
    </row>
    <row r="391" spans="1:10">
      <c r="A391" s="13" t="s">
        <v>393</v>
      </c>
      <c r="B391" s="13" t="s">
        <v>346</v>
      </c>
      <c r="C391" s="10" t="s">
        <v>352</v>
      </c>
      <c r="D391" s="10" t="s">
        <v>348</v>
      </c>
      <c r="E391" s="10" t="s">
        <v>349</v>
      </c>
      <c r="F391" s="10" t="s">
        <v>350</v>
      </c>
      <c r="G391" s="35">
        <v>10</v>
      </c>
      <c r="H391" s="35">
        <f t="shared" si="5"/>
        <v>1500</v>
      </c>
      <c r="I391" s="34">
        <v>44819</v>
      </c>
      <c r="J391" s="34">
        <v>44865</v>
      </c>
    </row>
    <row r="392" spans="1:10">
      <c r="A392" s="13" t="s">
        <v>393</v>
      </c>
      <c r="B392" s="13" t="s">
        <v>346</v>
      </c>
      <c r="C392" s="10" t="s">
        <v>353</v>
      </c>
      <c r="D392" s="10" t="s">
        <v>348</v>
      </c>
      <c r="E392" s="10" t="s">
        <v>349</v>
      </c>
      <c r="F392" s="10" t="s">
        <v>350</v>
      </c>
      <c r="G392" s="35">
        <v>10</v>
      </c>
      <c r="H392" s="35">
        <f t="shared" si="5"/>
        <v>1500</v>
      </c>
      <c r="I392" s="34">
        <v>44819</v>
      </c>
      <c r="J392" s="34">
        <v>44865</v>
      </c>
    </row>
    <row r="393" spans="1:10">
      <c r="A393" s="13" t="s">
        <v>393</v>
      </c>
      <c r="B393" s="13" t="s">
        <v>346</v>
      </c>
      <c r="C393" s="10" t="s">
        <v>347</v>
      </c>
      <c r="D393" s="10" t="s">
        <v>354</v>
      </c>
      <c r="E393" s="10" t="s">
        <v>349</v>
      </c>
      <c r="F393" s="10" t="s">
        <v>350</v>
      </c>
      <c r="G393" s="35">
        <v>10</v>
      </c>
      <c r="H393" s="35">
        <f t="shared" si="5"/>
        <v>1500</v>
      </c>
      <c r="I393" s="34">
        <v>44819</v>
      </c>
      <c r="J393" s="34">
        <v>44865</v>
      </c>
    </row>
    <row r="394" spans="1:10">
      <c r="A394" s="13" t="s">
        <v>393</v>
      </c>
      <c r="B394" s="13" t="s">
        <v>346</v>
      </c>
      <c r="C394" s="10" t="s">
        <v>351</v>
      </c>
      <c r="D394" s="10" t="s">
        <v>354</v>
      </c>
      <c r="E394" s="10" t="s">
        <v>349</v>
      </c>
      <c r="F394" s="10" t="s">
        <v>350</v>
      </c>
      <c r="G394" s="35">
        <v>10</v>
      </c>
      <c r="H394" s="35">
        <f t="shared" si="5"/>
        <v>1500</v>
      </c>
      <c r="I394" s="34">
        <v>44819</v>
      </c>
      <c r="J394" s="34">
        <v>44865</v>
      </c>
    </row>
    <row r="395" spans="1:10">
      <c r="A395" s="13" t="s">
        <v>393</v>
      </c>
      <c r="B395" s="13" t="s">
        <v>346</v>
      </c>
      <c r="C395" s="10" t="s">
        <v>352</v>
      </c>
      <c r="D395" s="10" t="s">
        <v>354</v>
      </c>
      <c r="E395" s="10" t="s">
        <v>349</v>
      </c>
      <c r="F395" s="10" t="s">
        <v>350</v>
      </c>
      <c r="G395" s="35">
        <v>10</v>
      </c>
      <c r="H395" s="35">
        <f t="shared" si="5"/>
        <v>1500</v>
      </c>
      <c r="I395" s="34">
        <v>44819</v>
      </c>
      <c r="J395" s="34">
        <v>44865</v>
      </c>
    </row>
    <row r="396" spans="1:10">
      <c r="A396" s="13" t="s">
        <v>393</v>
      </c>
      <c r="B396" s="13" t="s">
        <v>346</v>
      </c>
      <c r="C396" s="10" t="s">
        <v>353</v>
      </c>
      <c r="D396" s="10" t="s">
        <v>354</v>
      </c>
      <c r="E396" s="10" t="s">
        <v>349</v>
      </c>
      <c r="F396" s="10" t="s">
        <v>350</v>
      </c>
      <c r="G396" s="35">
        <v>10</v>
      </c>
      <c r="H396" s="35">
        <f t="shared" si="5"/>
        <v>1500</v>
      </c>
      <c r="I396" s="34">
        <v>44819</v>
      </c>
      <c r="J396" s="34">
        <v>44865</v>
      </c>
    </row>
    <row r="397" spans="1:10">
      <c r="A397" s="13" t="s">
        <v>393</v>
      </c>
      <c r="B397" s="13" t="s">
        <v>346</v>
      </c>
      <c r="C397" s="10" t="s">
        <v>347</v>
      </c>
      <c r="D397" s="10" t="s">
        <v>355</v>
      </c>
      <c r="E397" s="10" t="s">
        <v>349</v>
      </c>
      <c r="F397" s="10" t="s">
        <v>350</v>
      </c>
      <c r="G397" s="35">
        <v>10</v>
      </c>
      <c r="H397" s="35">
        <f t="shared" si="5"/>
        <v>1500</v>
      </c>
      <c r="I397" s="34">
        <v>44819</v>
      </c>
      <c r="J397" s="34">
        <v>44865</v>
      </c>
    </row>
    <row r="398" spans="1:10">
      <c r="A398" s="13" t="s">
        <v>393</v>
      </c>
      <c r="B398" s="13" t="s">
        <v>346</v>
      </c>
      <c r="C398" s="10" t="s">
        <v>351</v>
      </c>
      <c r="D398" s="10" t="s">
        <v>355</v>
      </c>
      <c r="E398" s="10" t="s">
        <v>349</v>
      </c>
      <c r="F398" s="10" t="s">
        <v>350</v>
      </c>
      <c r="G398" s="35">
        <v>10</v>
      </c>
      <c r="H398" s="35">
        <f t="shared" si="5"/>
        <v>1500</v>
      </c>
      <c r="I398" s="34">
        <v>44819</v>
      </c>
      <c r="J398" s="34">
        <v>44865</v>
      </c>
    </row>
    <row r="399" spans="1:10">
      <c r="A399" s="13" t="s">
        <v>393</v>
      </c>
      <c r="B399" s="13" t="s">
        <v>346</v>
      </c>
      <c r="C399" s="10" t="s">
        <v>352</v>
      </c>
      <c r="D399" s="10" t="s">
        <v>355</v>
      </c>
      <c r="E399" s="10" t="s">
        <v>349</v>
      </c>
      <c r="F399" s="10" t="s">
        <v>350</v>
      </c>
      <c r="G399" s="35">
        <v>10</v>
      </c>
      <c r="H399" s="35">
        <f t="shared" si="5"/>
        <v>1500</v>
      </c>
      <c r="I399" s="34">
        <v>44819</v>
      </c>
      <c r="J399" s="34">
        <v>44865</v>
      </c>
    </row>
    <row r="400" spans="1:10">
      <c r="A400" s="13" t="s">
        <v>393</v>
      </c>
      <c r="B400" s="13" t="s">
        <v>346</v>
      </c>
      <c r="C400" s="10" t="s">
        <v>353</v>
      </c>
      <c r="D400" s="10" t="s">
        <v>355</v>
      </c>
      <c r="E400" s="10" t="s">
        <v>349</v>
      </c>
      <c r="F400" s="10" t="s">
        <v>350</v>
      </c>
      <c r="G400" s="35">
        <v>10</v>
      </c>
      <c r="H400" s="35">
        <f t="shared" si="5"/>
        <v>1500</v>
      </c>
      <c r="I400" s="34">
        <v>44819</v>
      </c>
      <c r="J400" s="34">
        <v>44865</v>
      </c>
    </row>
    <row r="401" spans="1:10">
      <c r="A401" s="13" t="s">
        <v>414</v>
      </c>
      <c r="B401" s="36" t="s">
        <v>400</v>
      </c>
      <c r="C401" s="37" t="s">
        <v>401</v>
      </c>
      <c r="D401" s="37" t="s">
        <v>402</v>
      </c>
      <c r="G401" s="35">
        <f>H401/150</f>
        <v>340</v>
      </c>
      <c r="H401" s="39">
        <v>51000</v>
      </c>
      <c r="I401" s="34">
        <v>44819</v>
      </c>
      <c r="J401" s="34">
        <v>44865</v>
      </c>
    </row>
    <row r="402" spans="1:10">
      <c r="A402" s="13" t="s">
        <v>414</v>
      </c>
      <c r="B402" s="36" t="s">
        <v>403</v>
      </c>
      <c r="C402" s="37" t="s">
        <v>404</v>
      </c>
      <c r="D402" s="37" t="s">
        <v>405</v>
      </c>
      <c r="G402" s="35">
        <f t="shared" ref="G402:G406" si="6">H402/150</f>
        <v>46.666666666666664</v>
      </c>
      <c r="H402" s="39">
        <v>7000</v>
      </c>
      <c r="I402" s="34">
        <v>44819</v>
      </c>
      <c r="J402" s="34">
        <v>44865</v>
      </c>
    </row>
    <row r="403" spans="1:10">
      <c r="A403" s="13" t="s">
        <v>414</v>
      </c>
      <c r="B403" s="36" t="s">
        <v>406</v>
      </c>
      <c r="C403" s="37"/>
      <c r="D403" s="37" t="s">
        <v>405</v>
      </c>
      <c r="G403" s="35">
        <f t="shared" si="6"/>
        <v>300</v>
      </c>
      <c r="H403" s="39">
        <v>45000</v>
      </c>
      <c r="I403" s="34">
        <v>44819</v>
      </c>
      <c r="J403" s="34">
        <v>44865</v>
      </c>
    </row>
    <row r="404" spans="1:10">
      <c r="A404" s="13" t="s">
        <v>414</v>
      </c>
      <c r="B404" s="36" t="s">
        <v>407</v>
      </c>
      <c r="C404" s="35" t="s">
        <v>408</v>
      </c>
      <c r="D404" s="37" t="s">
        <v>409</v>
      </c>
      <c r="G404" s="35">
        <f t="shared" si="6"/>
        <v>146.66666666666666</v>
      </c>
      <c r="H404" s="40">
        <v>22000</v>
      </c>
      <c r="I404" s="34">
        <v>44819</v>
      </c>
      <c r="J404" s="34">
        <v>44865</v>
      </c>
    </row>
    <row r="405" spans="1:10">
      <c r="A405" s="13" t="s">
        <v>414</v>
      </c>
      <c r="B405" s="36" t="s">
        <v>410</v>
      </c>
      <c r="C405" s="35" t="s">
        <v>411</v>
      </c>
      <c r="D405" s="37" t="s">
        <v>412</v>
      </c>
      <c r="G405" s="35">
        <f t="shared" si="6"/>
        <v>813.33333333333337</v>
      </c>
      <c r="H405" s="40">
        <v>122000</v>
      </c>
      <c r="I405" s="34">
        <v>44819</v>
      </c>
      <c r="J405" s="34">
        <v>44865</v>
      </c>
    </row>
    <row r="406" spans="1:10">
      <c r="A406" s="13" t="s">
        <v>414</v>
      </c>
      <c r="B406" s="36" t="s">
        <v>339</v>
      </c>
      <c r="C406" s="35" t="s">
        <v>413</v>
      </c>
      <c r="D406" s="35"/>
      <c r="G406" s="35">
        <f t="shared" si="6"/>
        <v>1053.3333333333333</v>
      </c>
      <c r="H406" s="40">
        <v>158000</v>
      </c>
      <c r="I406" s="34">
        <v>44819</v>
      </c>
      <c r="J406" s="34">
        <v>44865</v>
      </c>
    </row>
    <row r="407" spans="1:10">
      <c r="A407" s="13" t="s">
        <v>443</v>
      </c>
      <c r="B407" s="13" t="s">
        <v>444</v>
      </c>
      <c r="C407" s="38" t="s">
        <v>415</v>
      </c>
      <c r="D407" s="13" t="s">
        <v>416</v>
      </c>
      <c r="G407" s="35">
        <v>5020</v>
      </c>
      <c r="H407" s="35">
        <f t="shared" si="5"/>
        <v>753000</v>
      </c>
      <c r="I407" s="34">
        <v>44819</v>
      </c>
      <c r="J407" s="34">
        <v>44865</v>
      </c>
    </row>
    <row r="408" spans="1:10">
      <c r="A408" s="13" t="s">
        <v>443</v>
      </c>
      <c r="B408" s="13" t="s">
        <v>444</v>
      </c>
      <c r="C408" s="38" t="s">
        <v>417</v>
      </c>
      <c r="D408" s="13" t="s">
        <v>418</v>
      </c>
      <c r="G408" s="35">
        <v>95</v>
      </c>
      <c r="H408" s="35">
        <f t="shared" si="5"/>
        <v>14250</v>
      </c>
      <c r="I408" s="34">
        <v>44820</v>
      </c>
      <c r="J408" s="34">
        <v>44865</v>
      </c>
    </row>
    <row r="409" spans="1:10">
      <c r="A409" s="13" t="s">
        <v>443</v>
      </c>
      <c r="B409" s="13" t="s">
        <v>444</v>
      </c>
      <c r="C409" s="38" t="s">
        <v>419</v>
      </c>
      <c r="D409" s="13" t="s">
        <v>420</v>
      </c>
      <c r="G409" s="35">
        <v>95</v>
      </c>
      <c r="H409" s="35">
        <f t="shared" si="5"/>
        <v>14250</v>
      </c>
      <c r="I409" s="34">
        <v>44820</v>
      </c>
      <c r="J409" s="34">
        <v>44865</v>
      </c>
    </row>
    <row r="410" spans="1:10">
      <c r="A410" s="13" t="s">
        <v>443</v>
      </c>
      <c r="B410" s="13" t="s">
        <v>444</v>
      </c>
      <c r="C410" s="38" t="s">
        <v>421</v>
      </c>
      <c r="D410" s="13" t="s">
        <v>422</v>
      </c>
      <c r="G410" s="35">
        <v>95</v>
      </c>
      <c r="H410" s="35">
        <f t="shared" si="5"/>
        <v>14250</v>
      </c>
      <c r="I410" s="34">
        <v>44820</v>
      </c>
      <c r="J410" s="34">
        <v>44865</v>
      </c>
    </row>
    <row r="411" spans="1:10">
      <c r="A411" s="13" t="s">
        <v>443</v>
      </c>
      <c r="B411" s="13" t="s">
        <v>444</v>
      </c>
      <c r="C411" s="38" t="s">
        <v>423</v>
      </c>
      <c r="D411" s="13" t="s">
        <v>424</v>
      </c>
      <c r="G411" s="35">
        <v>95</v>
      </c>
      <c r="H411" s="35">
        <f t="shared" si="5"/>
        <v>14250</v>
      </c>
      <c r="I411" s="34">
        <v>44820</v>
      </c>
      <c r="J411" s="34">
        <v>44865</v>
      </c>
    </row>
    <row r="412" spans="1:10">
      <c r="A412" s="13" t="s">
        <v>443</v>
      </c>
      <c r="B412" s="13" t="s">
        <v>444</v>
      </c>
      <c r="C412" s="38" t="s">
        <v>425</v>
      </c>
      <c r="D412" s="13" t="s">
        <v>426</v>
      </c>
      <c r="G412" s="35">
        <v>95</v>
      </c>
      <c r="H412" s="35">
        <f t="shared" si="5"/>
        <v>14250</v>
      </c>
      <c r="I412" s="34">
        <v>44820</v>
      </c>
      <c r="J412" s="34">
        <v>44865</v>
      </c>
    </row>
    <row r="413" spans="1:10">
      <c r="A413" s="13" t="s">
        <v>443</v>
      </c>
      <c r="B413" s="13" t="s">
        <v>444</v>
      </c>
      <c r="C413" s="38" t="s">
        <v>427</v>
      </c>
      <c r="D413" s="13" t="s">
        <v>428</v>
      </c>
      <c r="G413" s="35">
        <v>120</v>
      </c>
      <c r="H413" s="35">
        <f t="shared" si="5"/>
        <v>18000</v>
      </c>
      <c r="I413" s="34">
        <v>44820</v>
      </c>
      <c r="J413" s="34">
        <v>44865</v>
      </c>
    </row>
    <row r="414" spans="1:10">
      <c r="A414" s="13" t="s">
        <v>443</v>
      </c>
      <c r="B414" s="13" t="s">
        <v>444</v>
      </c>
      <c r="C414" s="38" t="s">
        <v>429</v>
      </c>
      <c r="D414" s="13" t="s">
        <v>430</v>
      </c>
      <c r="G414" s="35">
        <v>120</v>
      </c>
      <c r="H414" s="35">
        <f t="shared" si="5"/>
        <v>18000</v>
      </c>
      <c r="I414" s="34">
        <v>44820</v>
      </c>
      <c r="J414" s="34">
        <v>44865</v>
      </c>
    </row>
    <row r="415" spans="1:10">
      <c r="A415" s="13" t="s">
        <v>443</v>
      </c>
      <c r="B415" s="13" t="s">
        <v>444</v>
      </c>
      <c r="C415" s="38" t="s">
        <v>431</v>
      </c>
      <c r="D415" s="13" t="s">
        <v>432</v>
      </c>
      <c r="G415" s="35">
        <v>165</v>
      </c>
      <c r="H415" s="35">
        <f t="shared" si="5"/>
        <v>24750</v>
      </c>
      <c r="I415" s="34">
        <v>44820</v>
      </c>
      <c r="J415" s="34">
        <v>44865</v>
      </c>
    </row>
    <row r="416" spans="1:10">
      <c r="A416" s="13" t="s">
        <v>443</v>
      </c>
      <c r="B416" s="13" t="s">
        <v>444</v>
      </c>
      <c r="C416" s="38" t="s">
        <v>434</v>
      </c>
      <c r="G416" s="35">
        <v>855</v>
      </c>
      <c r="H416" s="35">
        <f t="shared" si="5"/>
        <v>128250</v>
      </c>
      <c r="I416" s="34">
        <v>44820</v>
      </c>
      <c r="J416" s="34">
        <v>44865</v>
      </c>
    </row>
    <row r="417" spans="1:10">
      <c r="A417" s="13" t="s">
        <v>443</v>
      </c>
      <c r="B417" s="13" t="s">
        <v>444</v>
      </c>
      <c r="C417" s="38" t="s">
        <v>433</v>
      </c>
      <c r="G417" s="35">
        <v>345</v>
      </c>
      <c r="H417" s="35">
        <f t="shared" si="5"/>
        <v>51750</v>
      </c>
      <c r="I417" s="34">
        <v>44820</v>
      </c>
      <c r="J417" s="34">
        <v>44865</v>
      </c>
    </row>
    <row r="418" spans="1:10">
      <c r="A418" s="13" t="s">
        <v>443</v>
      </c>
      <c r="B418" s="13" t="s">
        <v>444</v>
      </c>
      <c r="C418" s="38" t="s">
        <v>435</v>
      </c>
      <c r="G418" s="35">
        <v>275</v>
      </c>
      <c r="H418" s="35">
        <f t="shared" si="5"/>
        <v>41250</v>
      </c>
      <c r="I418" s="34">
        <v>44820</v>
      </c>
      <c r="J418" s="34">
        <v>44865</v>
      </c>
    </row>
    <row r="419" spans="1:10">
      <c r="A419" s="13" t="s">
        <v>443</v>
      </c>
      <c r="B419" s="13" t="s">
        <v>444</v>
      </c>
      <c r="C419" s="38" t="s">
        <v>436</v>
      </c>
      <c r="G419" s="35">
        <v>415</v>
      </c>
      <c r="H419" s="35">
        <f t="shared" si="5"/>
        <v>62250</v>
      </c>
      <c r="I419" s="34">
        <v>44820</v>
      </c>
      <c r="J419" s="34">
        <v>44865</v>
      </c>
    </row>
    <row r="420" spans="1:10">
      <c r="A420" s="13" t="s">
        <v>443</v>
      </c>
      <c r="B420" s="13" t="s">
        <v>444</v>
      </c>
      <c r="C420" s="38" t="s">
        <v>437</v>
      </c>
      <c r="G420" s="35">
        <v>55</v>
      </c>
      <c r="H420" s="35">
        <f t="shared" si="5"/>
        <v>8250</v>
      </c>
      <c r="I420" s="34">
        <v>44820</v>
      </c>
      <c r="J420" s="34">
        <v>44865</v>
      </c>
    </row>
    <row r="421" spans="1:10">
      <c r="A421" s="13" t="s">
        <v>443</v>
      </c>
      <c r="B421" s="13" t="s">
        <v>444</v>
      </c>
      <c r="C421" s="38" t="s">
        <v>438</v>
      </c>
      <c r="G421" s="35">
        <v>30</v>
      </c>
      <c r="H421" s="35">
        <f t="shared" si="5"/>
        <v>4500</v>
      </c>
      <c r="I421" s="34">
        <v>44820</v>
      </c>
      <c r="J421" s="34">
        <v>44865</v>
      </c>
    </row>
    <row r="422" spans="1:10">
      <c r="A422" s="13" t="s">
        <v>443</v>
      </c>
      <c r="B422" s="13" t="s">
        <v>444</v>
      </c>
      <c r="C422" s="38" t="s">
        <v>439</v>
      </c>
      <c r="G422" s="35">
        <v>560</v>
      </c>
      <c r="H422" s="35">
        <f t="shared" si="5"/>
        <v>84000</v>
      </c>
      <c r="I422" s="34">
        <v>44820</v>
      </c>
      <c r="J422" s="34">
        <v>44865</v>
      </c>
    </row>
    <row r="423" spans="1:10">
      <c r="A423" s="13" t="s">
        <v>443</v>
      </c>
      <c r="B423" s="13" t="s">
        <v>444</v>
      </c>
      <c r="C423" s="38" t="s">
        <v>440</v>
      </c>
      <c r="G423" s="35">
        <v>1915</v>
      </c>
      <c r="H423" s="35">
        <f t="shared" si="5"/>
        <v>287250</v>
      </c>
      <c r="I423" s="34">
        <v>44820</v>
      </c>
      <c r="J423" s="34">
        <v>44865</v>
      </c>
    </row>
    <row r="424" spans="1:10">
      <c r="A424" s="13" t="s">
        <v>443</v>
      </c>
      <c r="B424" s="13" t="s">
        <v>444</v>
      </c>
      <c r="C424" s="38" t="s">
        <v>441</v>
      </c>
      <c r="G424" s="35">
        <v>70</v>
      </c>
      <c r="H424" s="35">
        <f t="shared" si="5"/>
        <v>10500</v>
      </c>
      <c r="I424" s="34">
        <v>44820</v>
      </c>
      <c r="J424" s="34">
        <v>44865</v>
      </c>
    </row>
    <row r="425" spans="1:10">
      <c r="A425" s="13" t="s">
        <v>443</v>
      </c>
      <c r="B425" s="13" t="s">
        <v>444</v>
      </c>
      <c r="C425" s="38" t="s">
        <v>442</v>
      </c>
      <c r="G425" s="35">
        <v>1500</v>
      </c>
      <c r="H425" s="35">
        <f>G425*150</f>
        <v>225000</v>
      </c>
      <c r="I425" s="34">
        <v>44820</v>
      </c>
      <c r="J425" s="34">
        <v>44865</v>
      </c>
    </row>
  </sheetData>
  <autoFilter ref="A1:J425" xr:uid="{55E1138D-4C0A-1B48-9D97-C70F08490C4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WACIARZ</dc:creator>
  <cp:lastModifiedBy>DIEGO WACIARZ</cp:lastModifiedBy>
  <dcterms:created xsi:type="dcterms:W3CDTF">2022-02-11T21:25:21Z</dcterms:created>
  <dcterms:modified xsi:type="dcterms:W3CDTF">2022-10-12T15:41:33Z</dcterms:modified>
</cp:coreProperties>
</file>